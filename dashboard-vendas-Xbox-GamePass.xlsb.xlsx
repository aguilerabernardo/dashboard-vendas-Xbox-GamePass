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guilera\Desktop\Santander Bootcamp\Excel e Copilot\"/>
    </mc:Choice>
  </mc:AlternateContent>
  <xr:revisionPtr revIDLastSave="0" documentId="13_ncr:1_{8488804B-D08D-489C-B286-66F760F78FBE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" l="1"/>
  <c r="G36" i="3"/>
  <c r="G38" i="3"/>
  <c r="G37" i="3"/>
  <c r="D31" i="3"/>
  <c r="D21" i="3"/>
</calcChain>
</file>

<file path=xl/sharedStrings.xml><?xml version="1.0" encoding="utf-8"?>
<sst xmlns="http://schemas.openxmlformats.org/spreadsheetml/2006/main" count="2034" uniqueCount="329">
  <si>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</si>
  <si>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</si>
  <si>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</si>
  <si>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</si>
  <si>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</si>
  <si>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</si>
  <si>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</si>
  <si>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</si>
  <si>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</si>
  <si>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</si>
  <si>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</si>
  <si>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</si>
  <si>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</si>
  <si>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</si>
  <si>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</si>
  <si>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</si>
  <si>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</si>
  <si>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</si>
  <si>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</si>
  <si>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</si>
  <si>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</si>
  <si>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</si>
  <si>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</si>
  <si>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</si>
  <si>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</si>
  <si>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</si>
  <si>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</si>
  <si>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</si>
  <si>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</si>
  <si>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</si>
  <si>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</si>
  <si>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</si>
  <si>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</si>
  <si>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</si>
  <si>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</si>
  <si>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</si>
  <si>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</si>
  <si>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</si>
  <si>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</si>
  <si>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</si>
  <si>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</si>
  <si>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</si>
  <si>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</si>
  <si>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</si>
  <si>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</si>
  <si>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</si>
  <si>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</si>
  <si>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</si>
  <si>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</si>
  <si>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</si>
  <si>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</si>
  <si>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</si>
  <si>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</si>
  <si>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</si>
  <si>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</si>
  <si>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</si>
  <si>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</si>
  <si>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</si>
  <si>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</si>
  <si>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</si>
  <si>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</si>
  <si>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</si>
  <si>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</si>
  <si>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</si>
  <si>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</si>
  <si>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</si>
  <si>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</si>
  <si>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</si>
  <si>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</si>
  <si>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</si>
  <si>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</si>
  <si>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</si>
  <si>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</si>
  <si>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</si>
  <si>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</si>
  <si>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</si>
  <si>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</si>
  <si>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</si>
  <si>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</si>
  <si>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</si>
  <si>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</si>
  <si>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</si>
  <si>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</si>
  <si>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</si>
  <si>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</si>
  <si>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</si>
  <si>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</si>
  <si>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</si>
  <si>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</si>
  <si>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</si>
  <si>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</si>
  <si>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</si>
  <si>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</si>
  <si>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</si>
  <si>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</si>
  <si>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</si>
  <si>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</si>
  <si>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</si>
  <si>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</si>
  <si>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</si>
  <si>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</si>
  <si>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</si>
  <si>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</si>
  <si>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</si>
  <si>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</si>
  <si>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</si>
  <si>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</si>
  <si>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</si>
  <si>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</si>
  <si>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</si>
  <si>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</si>
  <si>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</si>
  <si>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</si>
  <si>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</si>
  <si>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</si>
  <si>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</si>
  <si>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</si>
  <si>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</si>
  <si>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</si>
  <si>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</si>
  <si>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</si>
  <si>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</si>
  <si>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</si>
  <si>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</si>
  <si>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</si>
  <si>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</si>
  <si>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</si>
  <si>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</si>
  <si>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</si>
  <si>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</si>
  <si>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</si>
  <si>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</si>
  <si>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</si>
  <si>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</si>
  <si>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</si>
  <si>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</si>
  <si>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</si>
  <si>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</si>
  <si>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</si>
  <si>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</si>
  <si>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</si>
  <si>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</si>
  <si>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</si>
  <si>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</si>
  <si>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</si>
  <si>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</si>
  <si>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</si>
  <si>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</si>
  <si>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</si>
  <si>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</si>
  <si>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</si>
  <si>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</si>
  <si>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</si>
  <si>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</si>
  <si>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</si>
  <si>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</si>
  <si>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</si>
  <si>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</si>
  <si>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</si>
  <si>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</si>
  <si>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</si>
  <si>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</si>
  <si>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</si>
  <si>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</si>
  <si>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</si>
  <si>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</si>
  <si>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</si>
  <si>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</si>
  <si>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</si>
  <si>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</si>
  <si>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</si>
  <si>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</si>
  <si>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</si>
  <si>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</si>
  <si>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</si>
  <si>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</si>
  <si>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</si>
  <si>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</si>
  <si>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</si>
  <si>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</si>
  <si>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</si>
  <si>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</si>
  <si>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</si>
  <si>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</si>
  <si>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</si>
  <si>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</si>
  <si>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</si>
  <si>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</si>
  <si>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</si>
  <si>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</si>
  <si>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</si>
  <si>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</si>
  <si>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</si>
  <si>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</si>
  <si>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</si>
  <si>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</si>
  <si>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</si>
  <si>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</si>
  <si>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</si>
  <si>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</si>
  <si>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</si>
  <si>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</si>
  <si>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</si>
  <si>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</si>
  <si>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</si>
  <si>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</si>
  <si>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</si>
  <si>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</si>
  <si>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</si>
  <si>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</si>
  <si>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</si>
  <si>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</si>
  <si>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</si>
  <si>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</si>
  <si>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</si>
  <si>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</si>
  <si>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</si>
  <si>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</si>
  <si>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</si>
  <si>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</si>
  <si>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</si>
  <si>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</si>
  <si>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</si>
  <si>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</si>
  <si>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</si>
  <si>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</si>
  <si>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</si>
  <si>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</si>
  <si>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</si>
  <si>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</si>
  <si>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</si>
  <si>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</si>
  <si>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</si>
  <si>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</si>
  <si>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</si>
  <si>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</si>
  <si>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</si>
  <si>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</si>
  <si>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</si>
  <si>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</si>
  <si>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</si>
  <si>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</si>
  <si>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</si>
  <si>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</si>
  <si>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</si>
  <si>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</si>
  <si>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</si>
  <si>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</si>
  <si>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</si>
  <si>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</si>
  <si>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</si>
  <si>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</si>
  <si>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</si>
  <si>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</si>
  <si>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</si>
  <si>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</si>
  <si>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</si>
  <si>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</si>
  <si>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</si>
  <si>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</si>
  <si>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</si>
  <si>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</si>
  <si>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</si>
  <si>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</si>
  <si>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</si>
  <si>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</si>
  <si>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</si>
  <si>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</si>
  <si>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</si>
  <si>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</si>
  <si>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</si>
  <si>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</si>
  <si>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</si>
  <si>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</si>
  <si>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</si>
  <si>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</si>
  <si>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</si>
  <si>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</si>
  <si>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</si>
  <si>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</si>
  <si>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</si>
  <si>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</si>
  <si>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</si>
  <si>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</si>
  <si>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</si>
  <si>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</si>
  <si>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</si>
  <si>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</si>
  <si>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</si>
  <si>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</si>
  <si>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</si>
  <si>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</si>
  <si>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</si>
  <si>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</si>
  <si>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</si>
  <si>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</si>
  <si>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</si>
  <si>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</si>
  <si>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</si>
  <si>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</si>
  <si>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</si>
  <si>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</si>
  <si>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</si>
  <si>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</si>
  <si>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</si>
  <si>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</si>
  <si>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</si>
  <si>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</si>
  <si>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</si>
  <si>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</si>
  <si>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</si>
  <si>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</si>
  <si>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</si>
  <si>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</si>
  <si>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</si>
  <si>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</si>
  <si>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>Pergunta de Negócio 3 -</t>
    </r>
    <r>
      <rPr>
        <b/>
        <sz val="9"/>
        <color theme="1"/>
        <rFont val="Aptos Narrow"/>
        <family val="2"/>
        <scheme val="minor"/>
      </rPr>
      <t xml:space="preserve"> Total de vendas</t>
    </r>
    <r>
      <rPr>
        <sz val="9"/>
        <color theme="1"/>
        <rFont val="Aptos Narrow"/>
        <family val="2"/>
        <scheme val="minor"/>
      </rPr>
      <t xml:space="preserve"> de </t>
    </r>
    <r>
      <rPr>
        <b/>
        <sz val="9"/>
        <color theme="1"/>
        <rFont val="Aptos Narrow"/>
        <family val="2"/>
        <scheme val="minor"/>
      </rPr>
      <t>Assinaturas do EA Play</t>
    </r>
  </si>
  <si>
    <t>Soma de EA Play Season Pass</t>
  </si>
  <si>
    <r>
      <t xml:space="preserve">Pergunta de Negócio 4 - </t>
    </r>
    <r>
      <rPr>
        <b/>
        <sz val="9"/>
        <color theme="1"/>
        <rFont val="Aptos Narrow"/>
        <family val="2"/>
        <scheme val="minor"/>
      </rPr>
      <t xml:space="preserve">Total de Vendas </t>
    </r>
    <r>
      <rPr>
        <sz val="9"/>
        <color theme="1"/>
        <rFont val="Aptos Narrow"/>
        <family val="2"/>
        <scheme val="minor"/>
      </rPr>
      <t xml:space="preserve">de Assinaturas do </t>
    </r>
    <r>
      <rPr>
        <b/>
        <sz val="9"/>
        <color theme="1"/>
        <rFont val="Aptos Narrow"/>
        <family val="2"/>
        <scheme val="minor"/>
      </rPr>
      <t>Minecraft Season Pass</t>
    </r>
  </si>
  <si>
    <t>Soma de Minecraft Season Pass Price</t>
  </si>
  <si>
    <t>(Tudo)</t>
  </si>
  <si>
    <t>GAME PASS SUBSCRIPTIONS SALES</t>
  </si>
  <si>
    <t>Welcome, Diego!</t>
  </si>
  <si>
    <r>
      <t xml:space="preserve">Pergunta de Negócio 1 - Qual faturamento </t>
    </r>
    <r>
      <rPr>
        <b/>
        <sz val="9"/>
        <color theme="1"/>
        <rFont val="Aptos Narrow"/>
        <family val="2"/>
        <scheme val="minor"/>
      </rPr>
      <t xml:space="preserve">Total de vendas </t>
    </r>
    <r>
      <rPr>
        <sz val="9"/>
        <color theme="1"/>
        <rFont val="Aptos Narrow"/>
        <family val="2"/>
        <scheme val="minor"/>
      </rPr>
      <t xml:space="preserve">de </t>
    </r>
    <r>
      <rPr>
        <b/>
        <sz val="9"/>
        <color theme="1"/>
        <rFont val="Aptos Narrow"/>
        <family val="2"/>
        <scheme val="minor"/>
      </rPr>
      <t>planos anuais</t>
    </r>
    <r>
      <rPr>
        <sz val="9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</si>
  <si>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9"/>
        <color theme="1"/>
        <rFont val="Aptos Narrow"/>
        <family val="2"/>
        <scheme val="minor"/>
      </rPr>
      <t xml:space="preserve"> Total de vendas </t>
    </r>
    <r>
      <rPr>
        <sz val="9"/>
        <color theme="1"/>
        <rFont val="Aptos Narrow"/>
        <family val="2"/>
        <scheme val="minor"/>
      </rPr>
      <t xml:space="preserve">de </t>
    </r>
    <r>
      <rPr>
        <b/>
        <sz val="9"/>
        <color theme="1"/>
        <rFont val="Aptos Narrow"/>
        <family val="2"/>
        <scheme val="minor"/>
      </rPr>
      <t>planos anuais</t>
    </r>
    <r>
      <rPr>
        <sz val="9"/>
        <color theme="1"/>
        <rFont val="Aptos Narrow"/>
        <family val="2"/>
        <scheme val="minor"/>
      </rPr>
      <t>, separado por</t>
    </r>
    <r>
      <rPr>
        <b/>
        <sz val="9"/>
        <color theme="1"/>
        <rFont val="Aptos Narrow"/>
        <family val="2"/>
        <scheme val="minor"/>
      </rPr>
      <t xml:space="preserve"> auto renovação</t>
    </r>
  </si>
  <si>
    <t>% de Auto Renovação</t>
  </si>
  <si>
    <t>Contagem de Auto Renewal</t>
  </si>
  <si>
    <t>Pergunta de Negócio 5 - Quantos % de usuários fazem autorenovação?</t>
  </si>
  <si>
    <t>Total de Usuários do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</si>
</sst>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5"/>
      <color rgb="FF00B050"/>
      <name val="Segoe UI"/>
      <family val="2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2" xfId="0" applyBorder="1"/>
    <xf numFmtId="164" fontId="0" fillId="0" borderId="0" xfId="3" applyNumberFormat="1" applyFont="1" applyAlignment="1">
      <alignment horizontal="right"/>
    </xf>
    <xf numFmtId="0" fontId="0" fillId="0" borderId="0" xfId="0" applyNumberFormat="1"/>
    <xf numFmtId="164" fontId="0" fillId="0" borderId="0" xfId="0" applyNumberFormat="1"/>
    <xf numFmtId="0" fontId="6" fillId="0" borderId="2" xfId="1" applyFont="1" applyBorder="1" applyAlignment="1">
      <alignment horizontal="left" indent="6"/>
    </xf>
    <xf numFmtId="0" fontId="7" fillId="4" borderId="0" xfId="0" applyFont="1" applyFill="1" applyAlignment="1">
      <alignment horizontal="center"/>
    </xf>
    <xf numFmtId="10" fontId="0" fillId="0" borderId="0" xfId="0" applyNumberFormat="1"/>
    <xf numFmtId="1" fontId="0" fillId="0" borderId="0" xfId="0" applyNumberFormat="1"/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3" pivot="0" table="0" count="10" xr9:uid="{24BA50CA-41C6-4832-9AF2-2C62B4542320}">
      <tableStyleElement type="wholeTable" dxfId="15"/>
      <tableStyleElement type="headerRow" dxfId="14"/>
    </tableStyle>
  </tableStyles>
  <colors>
    <mruColors>
      <color rgb="FF22C55E"/>
      <color rgb="FF000000"/>
      <color rgb="FF2AE6B1"/>
      <color rgb="FF5BF6A8"/>
      <color rgb="FFE8E6E9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[dashboard-vendas-Xbox-GamePass.xlsb.xlsx]C̳álculos!tbl_anual_total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123861438191279E-2"/>
          <c:y val="0"/>
          <c:w val="0.95860874727386614"/>
          <c:h val="0.795756243529114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7-4C1C-9D21-121BFE60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7721407"/>
        <c:axId val="427721887"/>
      </c:barChart>
      <c:catAx>
        <c:axId val="427721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721887"/>
        <c:crosses val="autoZero"/>
        <c:auto val="1"/>
        <c:lblAlgn val="ctr"/>
        <c:lblOffset val="100"/>
        <c:noMultiLvlLbl val="0"/>
      </c:catAx>
      <c:valAx>
        <c:axId val="4277218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277214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9.png"/><Relationship Id="rId7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Relationship Id="rId9" Type="http://schemas.openxmlformats.org/officeDocument/2006/relationships/image" Target="../media/image1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308610</xdr:colOff>
      <xdr:row>12</xdr:row>
      <xdr:rowOff>127635</xdr:rowOff>
    </xdr:from>
    <xdr:to>
      <xdr:col>11</xdr:col>
      <xdr:colOff>394335</xdr:colOff>
      <xdr:row>16</xdr:row>
      <xdr:rowOff>51435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38850" y="2482215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99058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99058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9</xdr:row>
      <xdr:rowOff>141448</xdr:rowOff>
    </xdr:from>
    <xdr:to>
      <xdr:col>0</xdr:col>
      <xdr:colOff>1952625</xdr:colOff>
      <xdr:row>20</xdr:row>
      <xdr:rowOff>179071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86A3BA0-D2B3-4088-B444-AD7C62AF49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2130268"/>
              <a:ext cx="1876425" cy="20493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135466</xdr:colOff>
      <xdr:row>7</xdr:row>
      <xdr:rowOff>87312</xdr:rowOff>
    </xdr:from>
    <xdr:to>
      <xdr:col>8</xdr:col>
      <xdr:colOff>437866</xdr:colOff>
      <xdr:row>15</xdr:row>
      <xdr:rowOff>160112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01760542-BFAA-4863-963C-59E4BA7976F9}"/>
            </a:ext>
          </a:extLst>
        </xdr:cNvPr>
        <xdr:cNvGrpSpPr/>
      </xdr:nvGrpSpPr>
      <xdr:grpSpPr>
        <a:xfrm>
          <a:off x="2375746" y="1474152"/>
          <a:ext cx="3960000" cy="1772060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E60E885-A03A-46FC-31CE-39F9A22E45B7}"/>
              </a:ext>
            </a:extLst>
          </xdr:cNvPr>
          <xdr:cNvSpPr/>
        </xdr:nvSpPr>
        <xdr:spPr>
          <a:xfrm>
            <a:off x="2095500" y="1202531"/>
            <a:ext cx="4655344" cy="1512095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D21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E870EDD6-C050-3F84-DBCD-96DEB7E446F9}"/>
              </a:ext>
            </a:extLst>
          </xdr:cNvPr>
          <xdr:cNvSpPr/>
        </xdr:nvSpPr>
        <xdr:spPr>
          <a:xfrm>
            <a:off x="3550721" y="1709738"/>
            <a:ext cx="30265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9F944D0-C696-414C-9229-AAC5A274530A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R$ 2.940,00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0A378AC7-0E00-BE0D-9BEB-25F9EADA28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71C98681-B443-6406-51A9-97AD46F463B0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261463</xdr:colOff>
      <xdr:row>7</xdr:row>
      <xdr:rowOff>71156</xdr:rowOff>
    </xdr:from>
    <xdr:to>
      <xdr:col>16</xdr:col>
      <xdr:colOff>115130</xdr:colOff>
      <xdr:row>15</xdr:row>
      <xdr:rowOff>64537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9A7EBFCB-1DD7-4196-A8D7-279B8A4EE097}"/>
            </a:ext>
          </a:extLst>
        </xdr:cNvPr>
        <xdr:cNvGrpSpPr/>
      </xdr:nvGrpSpPr>
      <xdr:grpSpPr>
        <a:xfrm>
          <a:off x="6768943" y="1457996"/>
          <a:ext cx="3960847" cy="1692641"/>
          <a:chOff x="7534275" y="1247775"/>
          <a:chExt cx="4655344" cy="1502283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64037F07-5592-F7B7-2F33-651254773FAF}"/>
              </a:ext>
            </a:extLst>
          </xdr:cNvPr>
          <xdr:cNvGrpSpPr/>
        </xdr:nvGrpSpPr>
        <xdr:grpSpPr>
          <a:xfrm>
            <a:off x="7534275" y="1247775"/>
            <a:ext cx="4655344" cy="1502283"/>
            <a:chOff x="2095500" y="1143000"/>
            <a:chExt cx="4655344" cy="1502283"/>
          </a:xfrm>
        </xdr:grpSpPr>
        <xdr:sp macro="" textlink="">
          <xdr:nvSpPr>
            <xdr:cNvPr id="24" name="Retângulo: Cantos Arredondados 23">
              <a:extLst>
                <a:ext uri="{FF2B5EF4-FFF2-40B4-BE49-F238E27FC236}">
                  <a16:creationId xmlns:a16="http://schemas.microsoft.com/office/drawing/2014/main" id="{0D59A02D-47C1-1119-BB41-5F8605B405F1}"/>
                </a:ext>
              </a:extLst>
            </xdr:cNvPr>
            <xdr:cNvSpPr/>
          </xdr:nvSpPr>
          <xdr:spPr>
            <a:xfrm>
              <a:off x="2095500" y="1202531"/>
              <a:ext cx="4655344" cy="1442752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D31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7A3FA81D-F6D9-0B5A-D14A-2716DFDBCC1C}"/>
                </a:ext>
              </a:extLst>
            </xdr:cNvPr>
            <xdr:cNvSpPr/>
          </xdr:nvSpPr>
          <xdr:spPr>
            <a:xfrm>
              <a:off x="3301888" y="1657990"/>
              <a:ext cx="3026568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0BCDA9A-8756-45A7-B1C9-04A4AB0F7F08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t>R$ 3.880,00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6" name="Retângulo: Cantos Superiores Arredondados 25">
              <a:extLst>
                <a:ext uri="{FF2B5EF4-FFF2-40B4-BE49-F238E27FC236}">
                  <a16:creationId xmlns:a16="http://schemas.microsoft.com/office/drawing/2014/main" id="{4F8859E0-5D51-5155-AFC7-B6A0B91340EE}"/>
                </a:ext>
              </a:extLst>
            </xdr:cNvPr>
            <xdr:cNvSpPr/>
          </xdr:nvSpPr>
          <xdr:spPr>
            <a:xfrm>
              <a:off x="2095500" y="1143000"/>
              <a:ext cx="4655344" cy="4306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13A2297B-A913-DD85-39DB-F18E686DD872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E6DA84E7-B182-A188-F61D-E73F53D01B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307B7A09-1FD4-A52E-CFC4-8BFCC72ED9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123825</xdr:colOff>
      <xdr:row>3</xdr:row>
      <xdr:rowOff>0</xdr:rowOff>
    </xdr:from>
    <xdr:to>
      <xdr:col>9</xdr:col>
      <xdr:colOff>458034</xdr:colOff>
      <xdr:row>5</xdr:row>
      <xdr:rowOff>25565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D8C6DBCE-871D-4E8C-BB68-EE3EB5DAF1E2}"/>
            </a:ext>
          </a:extLst>
        </xdr:cNvPr>
        <xdr:cNvSpPr/>
      </xdr:nvSpPr>
      <xdr:spPr>
        <a:xfrm>
          <a:off x="2371725" y="942975"/>
          <a:ext cx="4601409" cy="216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20/01/2026 15:00:00</a:t>
          </a:r>
        </a:p>
      </xdr:txBody>
    </xdr:sp>
    <xdr:clientData/>
  </xdr:twoCellAnchor>
  <xdr:twoCellAnchor>
    <xdr:from>
      <xdr:col>2</xdr:col>
      <xdr:colOff>135466</xdr:colOff>
      <xdr:row>16</xdr:row>
      <xdr:rowOff>42492</xdr:rowOff>
    </xdr:from>
    <xdr:to>
      <xdr:col>19</xdr:col>
      <xdr:colOff>548324</xdr:colOff>
      <xdr:row>32</xdr:row>
      <xdr:rowOff>123930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C7C8666C-B7A7-8B20-2BF1-5C3D5A8DFD19}"/>
            </a:ext>
          </a:extLst>
        </xdr:cNvPr>
        <xdr:cNvGrpSpPr/>
      </xdr:nvGrpSpPr>
      <xdr:grpSpPr>
        <a:xfrm>
          <a:off x="2375746" y="3311472"/>
          <a:ext cx="10616038" cy="3007518"/>
          <a:chOff x="2306001" y="3384709"/>
          <a:chExt cx="10714674" cy="297703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8CAD962-DD7A-8BA7-24C8-9D2BE2AE02D7}"/>
              </a:ext>
            </a:extLst>
          </xdr:cNvPr>
          <xdr:cNvGrpSpPr/>
        </xdr:nvGrpSpPr>
        <xdr:grpSpPr>
          <a:xfrm>
            <a:off x="2306001" y="3384709"/>
            <a:ext cx="10714673" cy="2977038"/>
            <a:chOff x="1487283" y="797671"/>
            <a:chExt cx="3992404" cy="2931366"/>
          </a:xfrm>
        </xdr:grpSpPr>
        <xdr:sp macro="" textlink="">
          <xdr:nvSpPr>
            <xdr:cNvPr id="2" name="Retângulo: Cantos Arredondados 1">
              <a:extLst>
                <a:ext uri="{FF2B5EF4-FFF2-40B4-BE49-F238E27FC236}">
                  <a16:creationId xmlns:a16="http://schemas.microsoft.com/office/drawing/2014/main" id="{7B4795BC-3523-9136-4139-000D4D9FF814}"/>
                </a:ext>
              </a:extLst>
            </xdr:cNvPr>
            <xdr:cNvSpPr/>
          </xdr:nvSpPr>
          <xdr:spPr>
            <a:xfrm>
              <a:off x="1487283" y="797671"/>
              <a:ext cx="3992404" cy="2725969"/>
            </a:xfrm>
            <a:prstGeom prst="roundRect">
              <a:avLst>
                <a:gd name="adj" fmla="val 588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FA96C94-C097-4B7F-95F9-06AB7D7D6E72}"/>
                </a:ext>
              </a:extLst>
            </xdr:cNvPr>
            <xdr:cNvGraphicFramePr>
              <a:graphicFrameLocks/>
            </xdr:cNvGraphicFramePr>
          </xdr:nvGraphicFramePr>
          <xdr:xfrm>
            <a:off x="1580198" y="1234441"/>
            <a:ext cx="3737610" cy="249459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302B9EAA-2222-4949-B1A3-8915A7629A5F}"/>
              </a:ext>
            </a:extLst>
          </xdr:cNvPr>
          <xdr:cNvSpPr/>
        </xdr:nvSpPr>
        <xdr:spPr>
          <a:xfrm>
            <a:off x="2306001" y="3384709"/>
            <a:ext cx="10714674" cy="4346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1990725</xdr:colOff>
      <xdr:row>2</xdr:row>
      <xdr:rowOff>66675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42D11FDF-A354-44B6-9350-3D61C6E1B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0725" cy="666750"/>
        </a:xfrm>
        <a:prstGeom prst="rect">
          <a:avLst/>
        </a:prstGeom>
      </xdr:spPr>
    </xdr:pic>
    <xdr:clientData/>
  </xdr:twoCellAnchor>
  <xdr:twoCellAnchor>
    <xdr:from>
      <xdr:col>0</xdr:col>
      <xdr:colOff>533400</xdr:colOff>
      <xdr:row>2</xdr:row>
      <xdr:rowOff>95249</xdr:rowOff>
    </xdr:from>
    <xdr:to>
      <xdr:col>0</xdr:col>
      <xdr:colOff>1485900</xdr:colOff>
      <xdr:row>7</xdr:row>
      <xdr:rowOff>152399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25535137-C4F7-4C1B-B517-3BF60FBA29E8}"/>
            </a:ext>
          </a:extLst>
        </xdr:cNvPr>
        <xdr:cNvSpPr/>
      </xdr:nvSpPr>
      <xdr:spPr>
        <a:xfrm>
          <a:off x="533400" y="695324"/>
          <a:ext cx="952500" cy="8477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228600</xdr:colOff>
      <xdr:row>0</xdr:row>
      <xdr:rowOff>200025</xdr:rowOff>
    </xdr:from>
    <xdr:to>
      <xdr:col>2</xdr:col>
      <xdr:colOff>419100</xdr:colOff>
      <xdr:row>2</xdr:row>
      <xdr:rowOff>38100</xdr:rowOff>
    </xdr:to>
    <xdr:pic>
      <xdr:nvPicPr>
        <xdr:cNvPr id="32" name="Gráfico 31" descr="Controlador de jogo estrutura de tópicos">
          <a:extLst>
            <a:ext uri="{FF2B5EF4-FFF2-40B4-BE49-F238E27FC236}">
              <a16:creationId xmlns:a16="http://schemas.microsoft.com/office/drawing/2014/main" id="{EF41E7B3-A5DB-BC61-4B08-CDB2FFE7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228850" y="200025"/>
          <a:ext cx="438150" cy="438150"/>
        </a:xfrm>
        <a:prstGeom prst="rect">
          <a:avLst/>
        </a:prstGeom>
      </xdr:spPr>
    </xdr:pic>
    <xdr:clientData/>
  </xdr:twoCellAnchor>
  <xdr:twoCellAnchor>
    <xdr:from>
      <xdr:col>16</xdr:col>
      <xdr:colOff>538336</xdr:colOff>
      <xdr:row>7</xdr:row>
      <xdr:rowOff>56091</xdr:rowOff>
    </xdr:from>
    <xdr:to>
      <xdr:col>19</xdr:col>
      <xdr:colOff>556791</xdr:colOff>
      <xdr:row>15</xdr:row>
      <xdr:rowOff>53029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92CD601B-E9C2-F7E1-87D7-A356F6962CEE}"/>
            </a:ext>
          </a:extLst>
        </xdr:cNvPr>
        <xdr:cNvGrpSpPr/>
      </xdr:nvGrpSpPr>
      <xdr:grpSpPr>
        <a:xfrm>
          <a:off x="11152996" y="1442931"/>
          <a:ext cx="1847255" cy="1696198"/>
          <a:chOff x="2073648" y="1143001"/>
          <a:chExt cx="4770843" cy="1506338"/>
        </a:xfrm>
      </xdr:grpSpPr>
      <xdr:sp macro="" textlink="">
        <xdr:nvSpPr>
          <xdr:cNvPr id="39" name="Retângulo: Cantos Arredondados 38">
            <a:extLst>
              <a:ext uri="{FF2B5EF4-FFF2-40B4-BE49-F238E27FC236}">
                <a16:creationId xmlns:a16="http://schemas.microsoft.com/office/drawing/2014/main" id="{1B473B14-2B3B-9FF1-97AE-49F883FCDB3D}"/>
              </a:ext>
            </a:extLst>
          </xdr:cNvPr>
          <xdr:cNvSpPr/>
        </xdr:nvSpPr>
        <xdr:spPr>
          <a:xfrm>
            <a:off x="2095500" y="1202531"/>
            <a:ext cx="4655344" cy="1446808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G39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8044523F-E7B9-E9B0-AA8F-12FC71DC8153}"/>
              </a:ext>
            </a:extLst>
          </xdr:cNvPr>
          <xdr:cNvSpPr/>
        </xdr:nvSpPr>
        <xdr:spPr>
          <a:xfrm>
            <a:off x="2073648" y="1650561"/>
            <a:ext cx="4770843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ED25E0A-D6F3-4CBC-BF51-B8DD1E0EDF1B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50,17%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41" name="Retângulo: Cantos Superiores Arredondados 40">
            <a:extLst>
              <a:ext uri="{FF2B5EF4-FFF2-40B4-BE49-F238E27FC236}">
                <a16:creationId xmlns:a16="http://schemas.microsoft.com/office/drawing/2014/main" id="{5D3F7320-D733-6CCE-43F1-601F164145B5}"/>
              </a:ext>
            </a:extLst>
          </xdr:cNvPr>
          <xdr:cNvSpPr/>
        </xdr:nvSpPr>
        <xdr:spPr>
          <a:xfrm>
            <a:off x="2095500" y="1143001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AUTO RENEWAL RATE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uilera" refreshedDate="46041.773082870372" createdVersion="8" refreshedVersion="8" minRefreshableVersion="3" recordCount="295" xr:uid="{9CDD2618-2293-43F0-A5E2-25E216B6607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6642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s v="Yes"/>
    <n v="20"/>
    <n v="5"/>
    <n v="60"/>
  </r>
  <r>
    <n v="3232"/>
    <x v="1"/>
    <x v="1"/>
    <d v="2024-01-15T00:00:00"/>
    <x v="1"/>
    <x v="1"/>
    <x v="1"/>
    <x v="1"/>
    <x v="1"/>
    <s v="No"/>
    <n v="0"/>
    <n v="0"/>
    <n v="5"/>
  </r>
  <r>
    <n v="3233"/>
    <x v="2"/>
    <x v="2"/>
    <d v="2024-02-10T00:00:00"/>
    <x v="0"/>
    <x v="2"/>
    <x v="2"/>
    <x v="1"/>
    <x v="1"/>
    <s v="Yes"/>
    <n v="20"/>
    <n v="10"/>
    <n v="20"/>
  </r>
  <r>
    <n v="3234"/>
    <x v="3"/>
    <x v="0"/>
    <d v="2024-02-20T00:00:00"/>
    <x v="1"/>
    <x v="0"/>
    <x v="0"/>
    <x v="0"/>
    <x v="0"/>
    <s v="Yes"/>
    <n v="20"/>
    <n v="3"/>
    <n v="62"/>
  </r>
  <r>
    <n v="3235"/>
    <x v="4"/>
    <x v="1"/>
    <d v="2024-03-05T00:00:00"/>
    <x v="0"/>
    <x v="1"/>
    <x v="0"/>
    <x v="1"/>
    <x v="1"/>
    <s v="No"/>
    <n v="0"/>
    <n v="1"/>
    <n v="4"/>
  </r>
  <r>
    <n v="3236"/>
    <x v="5"/>
    <x v="2"/>
    <d v="2024-03-02T00:00:00"/>
    <x v="1"/>
    <x v="2"/>
    <x v="0"/>
    <x v="1"/>
    <x v="1"/>
    <s v="Yes"/>
    <n v="20"/>
    <n v="2"/>
    <n v="28"/>
  </r>
  <r>
    <n v="3237"/>
    <x v="6"/>
    <x v="0"/>
    <d v="2024-03-03T00:00:00"/>
    <x v="0"/>
    <x v="0"/>
    <x v="2"/>
    <x v="0"/>
    <x v="0"/>
    <s v="Yes"/>
    <n v="20"/>
    <n v="10"/>
    <n v="55"/>
  </r>
  <r>
    <n v="3238"/>
    <x v="7"/>
    <x v="1"/>
    <d v="2024-03-04T00:00:00"/>
    <x v="0"/>
    <x v="1"/>
    <x v="1"/>
    <x v="1"/>
    <x v="1"/>
    <s v="No"/>
    <n v="0"/>
    <n v="0"/>
    <n v="5"/>
  </r>
  <r>
    <n v="3239"/>
    <x v="8"/>
    <x v="0"/>
    <d v="2024-03-05T00:00:00"/>
    <x v="1"/>
    <x v="0"/>
    <x v="0"/>
    <x v="0"/>
    <x v="0"/>
    <s v="Yes"/>
    <n v="20"/>
    <n v="5"/>
    <n v="60"/>
  </r>
  <r>
    <n v="3240"/>
    <x v="9"/>
    <x v="2"/>
    <d v="2024-03-06T00:00:00"/>
    <x v="0"/>
    <x v="2"/>
    <x v="2"/>
    <x v="1"/>
    <x v="1"/>
    <s v="Yes"/>
    <n v="20"/>
    <n v="15"/>
    <n v="15"/>
  </r>
  <r>
    <n v="3241"/>
    <x v="10"/>
    <x v="1"/>
    <d v="2024-03-07T00:00:00"/>
    <x v="1"/>
    <x v="1"/>
    <x v="0"/>
    <x v="1"/>
    <x v="1"/>
    <s v="No"/>
    <n v="0"/>
    <n v="1"/>
    <n v="4"/>
  </r>
  <r>
    <n v="3242"/>
    <x v="11"/>
    <x v="0"/>
    <d v="2024-03-08T00:00:00"/>
    <x v="0"/>
    <x v="0"/>
    <x v="1"/>
    <x v="0"/>
    <x v="0"/>
    <s v="Yes"/>
    <n v="20"/>
    <n v="20"/>
    <n v="45"/>
  </r>
  <r>
    <n v="3243"/>
    <x v="12"/>
    <x v="2"/>
    <d v="2024-03-09T00:00:00"/>
    <x v="1"/>
    <x v="2"/>
    <x v="0"/>
    <x v="1"/>
    <x v="1"/>
    <s v="Yes"/>
    <n v="20"/>
    <n v="10"/>
    <n v="20"/>
  </r>
  <r>
    <n v="3244"/>
    <x v="13"/>
    <x v="1"/>
    <d v="2024-03-10T00:00:00"/>
    <x v="0"/>
    <x v="1"/>
    <x v="2"/>
    <x v="1"/>
    <x v="1"/>
    <s v="No"/>
    <n v="0"/>
    <n v="0"/>
    <n v="5"/>
  </r>
  <r>
    <n v="3245"/>
    <x v="14"/>
    <x v="0"/>
    <d v="2024-03-11T00:00:00"/>
    <x v="1"/>
    <x v="0"/>
    <x v="0"/>
    <x v="0"/>
    <x v="0"/>
    <s v="Yes"/>
    <n v="20"/>
    <n v="8"/>
    <n v="57"/>
  </r>
  <r>
    <n v="3246"/>
    <x v="15"/>
    <x v="2"/>
    <d v="2024-03-12T00:00:00"/>
    <x v="0"/>
    <x v="2"/>
    <x v="1"/>
    <x v="1"/>
    <x v="1"/>
    <s v="Yes"/>
    <n v="20"/>
    <n v="12"/>
    <n v="18"/>
  </r>
  <r>
    <n v="3247"/>
    <x v="16"/>
    <x v="1"/>
    <d v="2024-03-13T00:00:00"/>
    <x v="1"/>
    <x v="1"/>
    <x v="0"/>
    <x v="1"/>
    <x v="1"/>
    <s v="No"/>
    <n v="0"/>
    <n v="2"/>
    <n v="3"/>
  </r>
  <r>
    <n v="3248"/>
    <x v="17"/>
    <x v="0"/>
    <d v="2024-03-14T00:00:00"/>
    <x v="0"/>
    <x v="0"/>
    <x v="2"/>
    <x v="0"/>
    <x v="0"/>
    <s v="Yes"/>
    <n v="20"/>
    <n v="7"/>
    <n v="58"/>
  </r>
  <r>
    <n v="3249"/>
    <x v="18"/>
    <x v="2"/>
    <d v="2024-03-15T00:00:00"/>
    <x v="1"/>
    <x v="2"/>
    <x v="0"/>
    <x v="1"/>
    <x v="1"/>
    <s v="Yes"/>
    <n v="20"/>
    <n v="5"/>
    <n v="25"/>
  </r>
  <r>
    <n v="3250"/>
    <x v="19"/>
    <x v="1"/>
    <d v="2024-03-16T00:00:00"/>
    <x v="0"/>
    <x v="1"/>
    <x v="1"/>
    <x v="1"/>
    <x v="1"/>
    <s v="No"/>
    <n v="0"/>
    <n v="0"/>
    <n v="5"/>
  </r>
  <r>
    <n v="3251"/>
    <x v="20"/>
    <x v="0"/>
    <d v="2024-03-17T00:00:00"/>
    <x v="1"/>
    <x v="0"/>
    <x v="0"/>
    <x v="0"/>
    <x v="0"/>
    <s v="Yes"/>
    <n v="20"/>
    <n v="3"/>
    <n v="62"/>
  </r>
  <r>
    <n v="3252"/>
    <x v="21"/>
    <x v="2"/>
    <d v="2024-03-18T00:00:00"/>
    <x v="0"/>
    <x v="2"/>
    <x v="2"/>
    <x v="1"/>
    <x v="1"/>
    <s v="Yes"/>
    <n v="20"/>
    <n v="15"/>
    <n v="15"/>
  </r>
  <r>
    <n v="3253"/>
    <x v="22"/>
    <x v="1"/>
    <d v="2024-03-19T00:00:00"/>
    <x v="1"/>
    <x v="1"/>
    <x v="0"/>
    <x v="1"/>
    <x v="1"/>
    <s v="No"/>
    <n v="0"/>
    <n v="1"/>
    <n v="4"/>
  </r>
  <r>
    <n v="3254"/>
    <x v="23"/>
    <x v="0"/>
    <d v="2024-03-20T00:00:00"/>
    <x v="0"/>
    <x v="0"/>
    <x v="1"/>
    <x v="0"/>
    <x v="0"/>
    <s v="Yes"/>
    <n v="20"/>
    <n v="20"/>
    <n v="45"/>
  </r>
  <r>
    <n v="3255"/>
    <x v="24"/>
    <x v="2"/>
    <d v="2024-03-21T00:00:00"/>
    <x v="1"/>
    <x v="2"/>
    <x v="0"/>
    <x v="1"/>
    <x v="1"/>
    <s v="Yes"/>
    <n v="20"/>
    <n v="10"/>
    <n v="20"/>
  </r>
  <r>
    <n v="3256"/>
    <x v="25"/>
    <x v="1"/>
    <d v="2024-03-22T00:00:00"/>
    <x v="0"/>
    <x v="1"/>
    <x v="2"/>
    <x v="1"/>
    <x v="1"/>
    <s v="No"/>
    <n v="0"/>
    <n v="0"/>
    <n v="5"/>
  </r>
  <r>
    <n v="3257"/>
    <x v="26"/>
    <x v="0"/>
    <d v="2024-03-23T00:00:00"/>
    <x v="1"/>
    <x v="0"/>
    <x v="0"/>
    <x v="0"/>
    <x v="0"/>
    <s v="Yes"/>
    <n v="20"/>
    <n v="5"/>
    <n v="60"/>
  </r>
  <r>
    <n v="3258"/>
    <x v="27"/>
    <x v="2"/>
    <d v="2024-03-24T00:00:00"/>
    <x v="0"/>
    <x v="2"/>
    <x v="1"/>
    <x v="1"/>
    <x v="1"/>
    <s v="Yes"/>
    <n v="20"/>
    <n v="15"/>
    <n v="15"/>
  </r>
  <r>
    <n v="3259"/>
    <x v="28"/>
    <x v="1"/>
    <d v="2024-03-25T00:00:00"/>
    <x v="1"/>
    <x v="1"/>
    <x v="0"/>
    <x v="1"/>
    <x v="1"/>
    <s v="No"/>
    <n v="0"/>
    <n v="1"/>
    <n v="4"/>
  </r>
  <r>
    <n v="3260"/>
    <x v="29"/>
    <x v="0"/>
    <d v="2024-03-26T00:00:00"/>
    <x v="0"/>
    <x v="0"/>
    <x v="2"/>
    <x v="0"/>
    <x v="0"/>
    <s v="Yes"/>
    <n v="20"/>
    <n v="7"/>
    <n v="58"/>
  </r>
  <r>
    <n v="3261"/>
    <x v="30"/>
    <x v="2"/>
    <d v="2024-03-27T00:00:00"/>
    <x v="1"/>
    <x v="2"/>
    <x v="0"/>
    <x v="1"/>
    <x v="1"/>
    <s v="Yes"/>
    <n v="20"/>
    <n v="10"/>
    <n v="20"/>
  </r>
  <r>
    <n v="3262"/>
    <x v="31"/>
    <x v="1"/>
    <d v="2024-03-28T00:00:00"/>
    <x v="0"/>
    <x v="1"/>
    <x v="1"/>
    <x v="1"/>
    <x v="1"/>
    <s v="No"/>
    <n v="0"/>
    <n v="0"/>
    <n v="5"/>
  </r>
  <r>
    <n v="3263"/>
    <x v="32"/>
    <x v="0"/>
    <d v="2024-03-29T00:00:00"/>
    <x v="1"/>
    <x v="0"/>
    <x v="0"/>
    <x v="0"/>
    <x v="0"/>
    <s v="Yes"/>
    <n v="20"/>
    <n v="3"/>
    <n v="62"/>
  </r>
  <r>
    <n v="3264"/>
    <x v="33"/>
    <x v="2"/>
    <d v="2024-03-30T00:00:00"/>
    <x v="0"/>
    <x v="2"/>
    <x v="2"/>
    <x v="1"/>
    <x v="1"/>
    <s v="Yes"/>
    <n v="20"/>
    <n v="15"/>
    <n v="15"/>
  </r>
  <r>
    <n v="3265"/>
    <x v="34"/>
    <x v="1"/>
    <d v="2024-03-31T00:00:00"/>
    <x v="1"/>
    <x v="1"/>
    <x v="0"/>
    <x v="1"/>
    <x v="1"/>
    <s v="No"/>
    <n v="0"/>
    <n v="1"/>
    <n v="4"/>
  </r>
  <r>
    <n v="3266"/>
    <x v="35"/>
    <x v="1"/>
    <d v="2024-04-01T00:00:00"/>
    <x v="0"/>
    <x v="1"/>
    <x v="0"/>
    <x v="1"/>
    <x v="1"/>
    <s v="No"/>
    <n v="0"/>
    <n v="0"/>
    <n v="5"/>
  </r>
  <r>
    <n v="3267"/>
    <x v="36"/>
    <x v="0"/>
    <d v="2024-04-02T00:00:00"/>
    <x v="1"/>
    <x v="0"/>
    <x v="2"/>
    <x v="0"/>
    <x v="0"/>
    <s v="Yes"/>
    <n v="20"/>
    <n v="7"/>
    <n v="58"/>
  </r>
  <r>
    <n v="3268"/>
    <x v="37"/>
    <x v="2"/>
    <d v="2024-04-03T00:00:00"/>
    <x v="0"/>
    <x v="2"/>
    <x v="1"/>
    <x v="1"/>
    <x v="1"/>
    <s v="Yes"/>
    <n v="20"/>
    <n v="10"/>
    <n v="20"/>
  </r>
  <r>
    <n v="3269"/>
    <x v="38"/>
    <x v="1"/>
    <d v="2024-04-04T00:00:00"/>
    <x v="1"/>
    <x v="1"/>
    <x v="2"/>
    <x v="1"/>
    <x v="1"/>
    <s v="No"/>
    <n v="0"/>
    <n v="1"/>
    <n v="4"/>
  </r>
  <r>
    <n v="3270"/>
    <x v="39"/>
    <x v="0"/>
    <d v="2024-04-05T00:00:00"/>
    <x v="0"/>
    <x v="0"/>
    <x v="0"/>
    <x v="0"/>
    <x v="0"/>
    <s v="Yes"/>
    <n v="20"/>
    <n v="15"/>
    <n v="50"/>
  </r>
  <r>
    <n v="3271"/>
    <x v="40"/>
    <x v="2"/>
    <d v="2024-04-06T00:00:00"/>
    <x v="1"/>
    <x v="2"/>
    <x v="0"/>
    <x v="1"/>
    <x v="1"/>
    <s v="Yes"/>
    <n v="20"/>
    <n v="5"/>
    <n v="25"/>
  </r>
  <r>
    <n v="3272"/>
    <x v="41"/>
    <x v="1"/>
    <d v="2024-04-07T00:00:00"/>
    <x v="0"/>
    <x v="1"/>
    <x v="1"/>
    <x v="1"/>
    <x v="1"/>
    <s v="No"/>
    <n v="0"/>
    <n v="0"/>
    <n v="5"/>
  </r>
  <r>
    <n v="3273"/>
    <x v="42"/>
    <x v="0"/>
    <d v="2024-04-08T00:00:00"/>
    <x v="1"/>
    <x v="0"/>
    <x v="2"/>
    <x v="0"/>
    <x v="0"/>
    <s v="Yes"/>
    <n v="20"/>
    <n v="20"/>
    <n v="45"/>
  </r>
  <r>
    <n v="3274"/>
    <x v="43"/>
    <x v="2"/>
    <d v="2024-04-09T00:00:00"/>
    <x v="0"/>
    <x v="2"/>
    <x v="2"/>
    <x v="1"/>
    <x v="1"/>
    <s v="Yes"/>
    <n v="20"/>
    <n v="12"/>
    <n v="18"/>
  </r>
  <r>
    <n v="3275"/>
    <x v="44"/>
    <x v="1"/>
    <d v="2024-04-10T00:00:00"/>
    <x v="1"/>
    <x v="1"/>
    <x v="0"/>
    <x v="1"/>
    <x v="1"/>
    <s v="No"/>
    <n v="0"/>
    <n v="2"/>
    <n v="3"/>
  </r>
  <r>
    <n v="3276"/>
    <x v="45"/>
    <x v="0"/>
    <d v="2024-04-11T00:00:00"/>
    <x v="0"/>
    <x v="0"/>
    <x v="1"/>
    <x v="0"/>
    <x v="0"/>
    <s v="Yes"/>
    <n v="20"/>
    <n v="5"/>
    <n v="60"/>
  </r>
  <r>
    <n v="3277"/>
    <x v="46"/>
    <x v="2"/>
    <d v="2024-04-12T00:00:00"/>
    <x v="1"/>
    <x v="2"/>
    <x v="0"/>
    <x v="1"/>
    <x v="1"/>
    <s v="Yes"/>
    <n v="20"/>
    <n v="10"/>
    <n v="20"/>
  </r>
  <r>
    <n v="3278"/>
    <x v="47"/>
    <x v="1"/>
    <d v="2024-04-13T00:00:00"/>
    <x v="0"/>
    <x v="1"/>
    <x v="2"/>
    <x v="1"/>
    <x v="1"/>
    <s v="No"/>
    <n v="0"/>
    <n v="0"/>
    <n v="5"/>
  </r>
  <r>
    <n v="3279"/>
    <x v="48"/>
    <x v="0"/>
    <d v="2024-04-14T00:00:00"/>
    <x v="1"/>
    <x v="0"/>
    <x v="0"/>
    <x v="0"/>
    <x v="0"/>
    <s v="Yes"/>
    <n v="20"/>
    <n v="3"/>
    <n v="62"/>
  </r>
  <r>
    <n v="3280"/>
    <x v="49"/>
    <x v="2"/>
    <d v="2024-04-15T00:00:00"/>
    <x v="0"/>
    <x v="2"/>
    <x v="1"/>
    <x v="1"/>
    <x v="1"/>
    <s v="Yes"/>
    <n v="20"/>
    <n v="15"/>
    <n v="15"/>
  </r>
  <r>
    <n v="3281"/>
    <x v="50"/>
    <x v="1"/>
    <d v="2024-04-16T00:00:00"/>
    <x v="1"/>
    <x v="1"/>
    <x v="0"/>
    <x v="1"/>
    <x v="1"/>
    <s v="No"/>
    <n v="0"/>
    <n v="1"/>
    <n v="4"/>
  </r>
  <r>
    <n v="3282"/>
    <x v="51"/>
    <x v="0"/>
    <d v="2024-04-17T00:00:00"/>
    <x v="0"/>
    <x v="0"/>
    <x v="2"/>
    <x v="0"/>
    <x v="0"/>
    <s v="Yes"/>
    <n v="20"/>
    <n v="7"/>
    <n v="58"/>
  </r>
  <r>
    <n v="3283"/>
    <x v="52"/>
    <x v="2"/>
    <d v="2024-04-18T00:00:00"/>
    <x v="1"/>
    <x v="2"/>
    <x v="0"/>
    <x v="1"/>
    <x v="1"/>
    <s v="Yes"/>
    <n v="20"/>
    <n v="10"/>
    <n v="20"/>
  </r>
  <r>
    <n v="3284"/>
    <x v="53"/>
    <x v="1"/>
    <d v="2024-04-19T00:00:00"/>
    <x v="0"/>
    <x v="1"/>
    <x v="1"/>
    <x v="1"/>
    <x v="1"/>
    <s v="No"/>
    <n v="0"/>
    <n v="0"/>
    <n v="5"/>
  </r>
  <r>
    <n v="3285"/>
    <x v="54"/>
    <x v="0"/>
    <d v="2024-04-20T00:00:00"/>
    <x v="1"/>
    <x v="0"/>
    <x v="0"/>
    <x v="0"/>
    <x v="0"/>
    <s v="Yes"/>
    <n v="20"/>
    <n v="20"/>
    <n v="45"/>
  </r>
  <r>
    <n v="3286"/>
    <x v="55"/>
    <x v="2"/>
    <d v="2024-04-21T00:00:00"/>
    <x v="0"/>
    <x v="2"/>
    <x v="2"/>
    <x v="1"/>
    <x v="1"/>
    <s v="Yes"/>
    <n v="20"/>
    <n v="15"/>
    <n v="15"/>
  </r>
  <r>
    <n v="3287"/>
    <x v="56"/>
    <x v="1"/>
    <d v="2024-04-22T00:00:00"/>
    <x v="1"/>
    <x v="1"/>
    <x v="0"/>
    <x v="1"/>
    <x v="1"/>
    <s v="No"/>
    <n v="0"/>
    <n v="1"/>
    <n v="4"/>
  </r>
  <r>
    <n v="3288"/>
    <x v="57"/>
    <x v="0"/>
    <d v="2024-04-23T00:00:00"/>
    <x v="0"/>
    <x v="0"/>
    <x v="1"/>
    <x v="0"/>
    <x v="0"/>
    <s v="Yes"/>
    <n v="20"/>
    <n v="3"/>
    <n v="62"/>
  </r>
  <r>
    <n v="3289"/>
    <x v="58"/>
    <x v="2"/>
    <d v="2024-04-24T00:00:00"/>
    <x v="1"/>
    <x v="2"/>
    <x v="0"/>
    <x v="1"/>
    <x v="1"/>
    <s v="Yes"/>
    <n v="20"/>
    <n v="10"/>
    <n v="20"/>
  </r>
  <r>
    <n v="3290"/>
    <x v="59"/>
    <x v="1"/>
    <d v="2024-04-25T00:00:00"/>
    <x v="0"/>
    <x v="1"/>
    <x v="2"/>
    <x v="1"/>
    <x v="1"/>
    <s v="No"/>
    <n v="0"/>
    <n v="0"/>
    <n v="5"/>
  </r>
  <r>
    <n v="3291"/>
    <x v="60"/>
    <x v="0"/>
    <d v="2024-04-26T00:00:00"/>
    <x v="1"/>
    <x v="0"/>
    <x v="0"/>
    <x v="0"/>
    <x v="0"/>
    <s v="Yes"/>
    <n v="20"/>
    <n v="5"/>
    <n v="60"/>
  </r>
  <r>
    <n v="3292"/>
    <x v="61"/>
    <x v="2"/>
    <d v="2024-04-27T00:00:00"/>
    <x v="0"/>
    <x v="2"/>
    <x v="1"/>
    <x v="1"/>
    <x v="1"/>
    <s v="Yes"/>
    <n v="20"/>
    <n v="15"/>
    <n v="15"/>
  </r>
  <r>
    <n v="3293"/>
    <x v="62"/>
    <x v="1"/>
    <d v="2024-04-28T00:00:00"/>
    <x v="1"/>
    <x v="1"/>
    <x v="0"/>
    <x v="1"/>
    <x v="1"/>
    <s v="No"/>
    <n v="0"/>
    <n v="1"/>
    <n v="4"/>
  </r>
  <r>
    <n v="3294"/>
    <x v="63"/>
    <x v="0"/>
    <d v="2024-04-29T00:00:00"/>
    <x v="0"/>
    <x v="0"/>
    <x v="2"/>
    <x v="0"/>
    <x v="0"/>
    <s v="Yes"/>
    <n v="20"/>
    <n v="20"/>
    <n v="45"/>
  </r>
  <r>
    <n v="3295"/>
    <x v="64"/>
    <x v="2"/>
    <d v="2024-04-30T00:00:00"/>
    <x v="1"/>
    <x v="2"/>
    <x v="0"/>
    <x v="1"/>
    <x v="1"/>
    <s v="Yes"/>
    <n v="20"/>
    <n v="5"/>
    <n v="25"/>
  </r>
  <r>
    <n v="3296"/>
    <x v="65"/>
    <x v="1"/>
    <d v="2024-05-01T00:00:00"/>
    <x v="1"/>
    <x v="1"/>
    <x v="0"/>
    <x v="1"/>
    <x v="1"/>
    <s v="No"/>
    <n v="0"/>
    <n v="0"/>
    <n v="5"/>
  </r>
  <r>
    <n v="3297"/>
    <x v="66"/>
    <x v="0"/>
    <d v="2024-05-02T00:00:00"/>
    <x v="0"/>
    <x v="0"/>
    <x v="2"/>
    <x v="0"/>
    <x v="0"/>
    <s v="Yes"/>
    <n v="20"/>
    <n v="7"/>
    <n v="58"/>
  </r>
  <r>
    <n v="3298"/>
    <x v="67"/>
    <x v="2"/>
    <d v="2024-05-03T00:00:00"/>
    <x v="1"/>
    <x v="2"/>
    <x v="1"/>
    <x v="1"/>
    <x v="1"/>
    <s v="Yes"/>
    <n v="20"/>
    <n v="10"/>
    <n v="20"/>
  </r>
  <r>
    <n v="3299"/>
    <x v="68"/>
    <x v="1"/>
    <d v="2024-05-04T00:00:00"/>
    <x v="0"/>
    <x v="1"/>
    <x v="2"/>
    <x v="1"/>
    <x v="1"/>
    <s v="No"/>
    <n v="0"/>
    <n v="1"/>
    <n v="4"/>
  </r>
  <r>
    <n v="3300"/>
    <x v="69"/>
    <x v="0"/>
    <d v="2024-05-05T00:00:00"/>
    <x v="1"/>
    <x v="0"/>
    <x v="0"/>
    <x v="0"/>
    <x v="0"/>
    <s v="Yes"/>
    <n v="20"/>
    <n v="15"/>
    <n v="50"/>
  </r>
  <r>
    <n v="3301"/>
    <x v="70"/>
    <x v="2"/>
    <d v="2024-05-06T00:00:00"/>
    <x v="0"/>
    <x v="2"/>
    <x v="0"/>
    <x v="1"/>
    <x v="1"/>
    <s v="Yes"/>
    <n v="20"/>
    <n v="5"/>
    <n v="25"/>
  </r>
  <r>
    <n v="3302"/>
    <x v="71"/>
    <x v="1"/>
    <d v="2024-05-07T00:00:00"/>
    <x v="1"/>
    <x v="1"/>
    <x v="1"/>
    <x v="1"/>
    <x v="1"/>
    <s v="No"/>
    <n v="0"/>
    <n v="0"/>
    <n v="5"/>
  </r>
  <r>
    <n v="3303"/>
    <x v="72"/>
    <x v="0"/>
    <d v="2024-05-08T00:00:00"/>
    <x v="0"/>
    <x v="0"/>
    <x v="2"/>
    <x v="0"/>
    <x v="0"/>
    <s v="Yes"/>
    <n v="20"/>
    <n v="20"/>
    <n v="45"/>
  </r>
  <r>
    <n v="3304"/>
    <x v="73"/>
    <x v="2"/>
    <d v="2024-05-09T00:00:00"/>
    <x v="1"/>
    <x v="2"/>
    <x v="2"/>
    <x v="1"/>
    <x v="1"/>
    <s v="Yes"/>
    <n v="20"/>
    <n v="12"/>
    <n v="18"/>
  </r>
  <r>
    <n v="3305"/>
    <x v="74"/>
    <x v="1"/>
    <d v="2024-05-10T00:00:00"/>
    <x v="0"/>
    <x v="1"/>
    <x v="0"/>
    <x v="1"/>
    <x v="1"/>
    <s v="No"/>
    <n v="0"/>
    <n v="2"/>
    <n v="3"/>
  </r>
  <r>
    <n v="3306"/>
    <x v="75"/>
    <x v="0"/>
    <d v="2024-05-11T00:00:00"/>
    <x v="1"/>
    <x v="0"/>
    <x v="1"/>
    <x v="0"/>
    <x v="0"/>
    <s v="Yes"/>
    <n v="20"/>
    <n v="5"/>
    <n v="60"/>
  </r>
  <r>
    <n v="3307"/>
    <x v="76"/>
    <x v="2"/>
    <d v="2024-05-12T00:00:00"/>
    <x v="0"/>
    <x v="2"/>
    <x v="0"/>
    <x v="1"/>
    <x v="1"/>
    <s v="Yes"/>
    <n v="20"/>
    <n v="10"/>
    <n v="20"/>
  </r>
  <r>
    <n v="3308"/>
    <x v="77"/>
    <x v="1"/>
    <d v="2024-05-13T00:00:00"/>
    <x v="1"/>
    <x v="1"/>
    <x v="2"/>
    <x v="1"/>
    <x v="1"/>
    <s v="No"/>
    <n v="0"/>
    <n v="0"/>
    <n v="5"/>
  </r>
  <r>
    <n v="3309"/>
    <x v="78"/>
    <x v="0"/>
    <d v="2024-05-14T00:00:00"/>
    <x v="0"/>
    <x v="0"/>
    <x v="0"/>
    <x v="0"/>
    <x v="0"/>
    <s v="Yes"/>
    <n v="20"/>
    <n v="3"/>
    <n v="62"/>
  </r>
  <r>
    <n v="3310"/>
    <x v="79"/>
    <x v="2"/>
    <d v="2024-05-15T00:00:00"/>
    <x v="1"/>
    <x v="2"/>
    <x v="1"/>
    <x v="1"/>
    <x v="1"/>
    <s v="Yes"/>
    <n v="20"/>
    <n v="15"/>
    <n v="15"/>
  </r>
  <r>
    <n v="3311"/>
    <x v="80"/>
    <x v="1"/>
    <d v="2024-05-16T00:00:00"/>
    <x v="0"/>
    <x v="1"/>
    <x v="0"/>
    <x v="1"/>
    <x v="1"/>
    <s v="No"/>
    <n v="0"/>
    <n v="1"/>
    <n v="4"/>
  </r>
  <r>
    <n v="3312"/>
    <x v="81"/>
    <x v="0"/>
    <d v="2024-05-17T00:00:00"/>
    <x v="1"/>
    <x v="0"/>
    <x v="2"/>
    <x v="0"/>
    <x v="0"/>
    <s v="Yes"/>
    <n v="20"/>
    <n v="7"/>
    <n v="58"/>
  </r>
  <r>
    <n v="3313"/>
    <x v="82"/>
    <x v="2"/>
    <d v="2024-05-18T00:00:00"/>
    <x v="0"/>
    <x v="2"/>
    <x v="0"/>
    <x v="1"/>
    <x v="1"/>
    <s v="Yes"/>
    <n v="20"/>
    <n v="10"/>
    <n v="20"/>
  </r>
  <r>
    <n v="3314"/>
    <x v="83"/>
    <x v="1"/>
    <d v="2024-05-19T00:00:00"/>
    <x v="1"/>
    <x v="1"/>
    <x v="1"/>
    <x v="1"/>
    <x v="1"/>
    <s v="No"/>
    <n v="0"/>
    <n v="0"/>
    <n v="5"/>
  </r>
  <r>
    <n v="3315"/>
    <x v="84"/>
    <x v="0"/>
    <d v="2024-05-20T00:00:00"/>
    <x v="0"/>
    <x v="0"/>
    <x v="0"/>
    <x v="0"/>
    <x v="0"/>
    <s v="Yes"/>
    <n v="20"/>
    <n v="20"/>
    <n v="45"/>
  </r>
  <r>
    <n v="3316"/>
    <x v="85"/>
    <x v="2"/>
    <d v="2024-05-21T00:00:00"/>
    <x v="1"/>
    <x v="2"/>
    <x v="2"/>
    <x v="1"/>
    <x v="1"/>
    <s v="Yes"/>
    <n v="20"/>
    <n v="15"/>
    <n v="15"/>
  </r>
  <r>
    <n v="3317"/>
    <x v="86"/>
    <x v="1"/>
    <d v="2024-05-22T00:00:00"/>
    <x v="0"/>
    <x v="1"/>
    <x v="0"/>
    <x v="1"/>
    <x v="1"/>
    <s v="No"/>
    <n v="0"/>
    <n v="1"/>
    <n v="4"/>
  </r>
  <r>
    <n v="3318"/>
    <x v="87"/>
    <x v="0"/>
    <d v="2024-05-23T00:00:00"/>
    <x v="1"/>
    <x v="0"/>
    <x v="1"/>
    <x v="0"/>
    <x v="0"/>
    <s v="Yes"/>
    <n v="20"/>
    <n v="3"/>
    <n v="62"/>
  </r>
  <r>
    <n v="3319"/>
    <x v="88"/>
    <x v="2"/>
    <d v="2024-05-24T00:00:00"/>
    <x v="0"/>
    <x v="2"/>
    <x v="0"/>
    <x v="1"/>
    <x v="1"/>
    <s v="Yes"/>
    <n v="20"/>
    <n v="10"/>
    <n v="20"/>
  </r>
  <r>
    <n v="3320"/>
    <x v="89"/>
    <x v="1"/>
    <d v="2024-05-25T00:00:00"/>
    <x v="1"/>
    <x v="1"/>
    <x v="2"/>
    <x v="1"/>
    <x v="1"/>
    <s v="No"/>
    <n v="0"/>
    <n v="0"/>
    <n v="5"/>
  </r>
  <r>
    <n v="3321"/>
    <x v="90"/>
    <x v="0"/>
    <d v="2024-05-26T00:00:00"/>
    <x v="0"/>
    <x v="0"/>
    <x v="0"/>
    <x v="0"/>
    <x v="0"/>
    <s v="Yes"/>
    <n v="20"/>
    <n v="5"/>
    <n v="60"/>
  </r>
  <r>
    <n v="3322"/>
    <x v="91"/>
    <x v="2"/>
    <d v="2024-05-27T00:00:00"/>
    <x v="1"/>
    <x v="2"/>
    <x v="1"/>
    <x v="1"/>
    <x v="1"/>
    <s v="Yes"/>
    <n v="20"/>
    <n v="15"/>
    <n v="15"/>
  </r>
  <r>
    <n v="3323"/>
    <x v="92"/>
    <x v="1"/>
    <d v="2024-05-28T00:00:00"/>
    <x v="0"/>
    <x v="1"/>
    <x v="0"/>
    <x v="1"/>
    <x v="1"/>
    <s v="No"/>
    <n v="0"/>
    <n v="1"/>
    <n v="4"/>
  </r>
  <r>
    <n v="3324"/>
    <x v="93"/>
    <x v="0"/>
    <d v="2024-05-29T00:00:00"/>
    <x v="1"/>
    <x v="0"/>
    <x v="2"/>
    <x v="0"/>
    <x v="0"/>
    <s v="Yes"/>
    <n v="20"/>
    <n v="20"/>
    <n v="45"/>
  </r>
  <r>
    <n v="3325"/>
    <x v="94"/>
    <x v="2"/>
    <d v="2024-05-30T00:00:00"/>
    <x v="0"/>
    <x v="2"/>
    <x v="2"/>
    <x v="1"/>
    <x v="1"/>
    <s v="Yes"/>
    <n v="20"/>
    <n v="15"/>
    <n v="15"/>
  </r>
  <r>
    <n v="3326"/>
    <x v="95"/>
    <x v="1"/>
    <d v="2024-05-31T00:00:00"/>
    <x v="1"/>
    <x v="1"/>
    <x v="1"/>
    <x v="1"/>
    <x v="1"/>
    <s v="No"/>
    <n v="0"/>
    <n v="0"/>
    <n v="5"/>
  </r>
  <r>
    <n v="3327"/>
    <x v="96"/>
    <x v="0"/>
    <d v="2024-06-01T00:00:00"/>
    <x v="0"/>
    <x v="0"/>
    <x v="0"/>
    <x v="0"/>
    <x v="0"/>
    <s v="Yes"/>
    <n v="20"/>
    <n v="7"/>
    <n v="58"/>
  </r>
  <r>
    <n v="3328"/>
    <x v="97"/>
    <x v="2"/>
    <d v="2024-06-02T00:00:00"/>
    <x v="1"/>
    <x v="2"/>
    <x v="1"/>
    <x v="1"/>
    <x v="1"/>
    <s v="Yes"/>
    <n v="20"/>
    <n v="10"/>
    <n v="20"/>
  </r>
  <r>
    <n v="3329"/>
    <x v="98"/>
    <x v="1"/>
    <d v="2024-06-03T00:00:00"/>
    <x v="0"/>
    <x v="1"/>
    <x v="2"/>
    <x v="1"/>
    <x v="1"/>
    <s v="No"/>
    <n v="0"/>
    <n v="1"/>
    <n v="4"/>
  </r>
  <r>
    <n v="3330"/>
    <x v="99"/>
    <x v="0"/>
    <d v="2024-06-04T00:00:00"/>
    <x v="1"/>
    <x v="0"/>
    <x v="0"/>
    <x v="0"/>
    <x v="0"/>
    <s v="Yes"/>
    <n v="20"/>
    <n v="15"/>
    <n v="50"/>
  </r>
  <r>
    <n v="3331"/>
    <x v="100"/>
    <x v="2"/>
    <d v="2024-06-05T00:00:00"/>
    <x v="0"/>
    <x v="2"/>
    <x v="0"/>
    <x v="1"/>
    <x v="1"/>
    <s v="Yes"/>
    <n v="20"/>
    <n v="5"/>
    <n v="25"/>
  </r>
  <r>
    <n v="3332"/>
    <x v="101"/>
    <x v="1"/>
    <d v="2024-06-06T00:00:00"/>
    <x v="1"/>
    <x v="1"/>
    <x v="1"/>
    <x v="1"/>
    <x v="1"/>
    <s v="No"/>
    <n v="0"/>
    <n v="0"/>
    <n v="5"/>
  </r>
  <r>
    <n v="3333"/>
    <x v="102"/>
    <x v="0"/>
    <d v="2024-06-07T00:00:00"/>
    <x v="0"/>
    <x v="0"/>
    <x v="2"/>
    <x v="0"/>
    <x v="0"/>
    <s v="Yes"/>
    <n v="20"/>
    <n v="20"/>
    <n v="45"/>
  </r>
  <r>
    <n v="3334"/>
    <x v="103"/>
    <x v="2"/>
    <d v="2024-06-08T00:00:00"/>
    <x v="1"/>
    <x v="2"/>
    <x v="2"/>
    <x v="1"/>
    <x v="1"/>
    <s v="Yes"/>
    <n v="20"/>
    <n v="12"/>
    <n v="18"/>
  </r>
  <r>
    <n v="3335"/>
    <x v="104"/>
    <x v="1"/>
    <d v="2024-06-09T00:00:00"/>
    <x v="0"/>
    <x v="1"/>
    <x v="0"/>
    <x v="1"/>
    <x v="1"/>
    <s v="No"/>
    <n v="0"/>
    <n v="2"/>
    <n v="3"/>
  </r>
  <r>
    <n v="3336"/>
    <x v="105"/>
    <x v="1"/>
    <d v="2024-06-10T00:00:00"/>
    <x v="0"/>
    <x v="1"/>
    <x v="0"/>
    <x v="1"/>
    <x v="1"/>
    <s v="No"/>
    <n v="0"/>
    <n v="0"/>
    <n v="5"/>
  </r>
  <r>
    <n v="3337"/>
    <x v="106"/>
    <x v="0"/>
    <d v="2024-06-11T00:00:00"/>
    <x v="1"/>
    <x v="0"/>
    <x v="2"/>
    <x v="0"/>
    <x v="0"/>
    <s v="Yes"/>
    <n v="20"/>
    <n v="7"/>
    <n v="58"/>
  </r>
  <r>
    <n v="3338"/>
    <x v="107"/>
    <x v="2"/>
    <d v="2024-06-12T00:00:00"/>
    <x v="0"/>
    <x v="2"/>
    <x v="1"/>
    <x v="1"/>
    <x v="1"/>
    <s v="Yes"/>
    <n v="20"/>
    <n v="10"/>
    <n v="20"/>
  </r>
  <r>
    <n v="3339"/>
    <x v="108"/>
    <x v="1"/>
    <d v="2024-06-13T00:00:00"/>
    <x v="1"/>
    <x v="1"/>
    <x v="2"/>
    <x v="1"/>
    <x v="1"/>
    <s v="No"/>
    <n v="0"/>
    <n v="1"/>
    <n v="4"/>
  </r>
  <r>
    <n v="3340"/>
    <x v="109"/>
    <x v="0"/>
    <d v="2024-06-14T00:00:00"/>
    <x v="0"/>
    <x v="0"/>
    <x v="0"/>
    <x v="0"/>
    <x v="0"/>
    <s v="Yes"/>
    <n v="20"/>
    <n v="15"/>
    <n v="50"/>
  </r>
  <r>
    <n v="3341"/>
    <x v="110"/>
    <x v="2"/>
    <d v="2024-06-15T00:00:00"/>
    <x v="1"/>
    <x v="2"/>
    <x v="0"/>
    <x v="1"/>
    <x v="1"/>
    <s v="Yes"/>
    <n v="20"/>
    <n v="5"/>
    <n v="25"/>
  </r>
  <r>
    <n v="3342"/>
    <x v="111"/>
    <x v="1"/>
    <d v="2024-06-16T00:00:00"/>
    <x v="0"/>
    <x v="1"/>
    <x v="1"/>
    <x v="1"/>
    <x v="1"/>
    <s v="No"/>
    <n v="0"/>
    <n v="0"/>
    <n v="5"/>
  </r>
  <r>
    <n v="3343"/>
    <x v="112"/>
    <x v="0"/>
    <d v="2024-06-17T00:00:00"/>
    <x v="1"/>
    <x v="0"/>
    <x v="2"/>
    <x v="0"/>
    <x v="0"/>
    <s v="Yes"/>
    <n v="20"/>
    <n v="20"/>
    <n v="45"/>
  </r>
  <r>
    <n v="3344"/>
    <x v="113"/>
    <x v="2"/>
    <d v="2024-06-18T00:00:00"/>
    <x v="0"/>
    <x v="2"/>
    <x v="2"/>
    <x v="1"/>
    <x v="1"/>
    <s v="Yes"/>
    <n v="20"/>
    <n v="12"/>
    <n v="18"/>
  </r>
  <r>
    <n v="3345"/>
    <x v="114"/>
    <x v="1"/>
    <d v="2024-06-19T00:00:00"/>
    <x v="1"/>
    <x v="1"/>
    <x v="0"/>
    <x v="1"/>
    <x v="1"/>
    <s v="No"/>
    <n v="0"/>
    <n v="2"/>
    <n v="3"/>
  </r>
  <r>
    <n v="3346"/>
    <x v="115"/>
    <x v="0"/>
    <d v="2024-06-20T00:00:00"/>
    <x v="0"/>
    <x v="0"/>
    <x v="1"/>
    <x v="0"/>
    <x v="0"/>
    <s v="Yes"/>
    <n v="20"/>
    <n v="5"/>
    <n v="60"/>
  </r>
  <r>
    <n v="3347"/>
    <x v="116"/>
    <x v="2"/>
    <d v="2024-06-21T00:00:00"/>
    <x v="1"/>
    <x v="2"/>
    <x v="0"/>
    <x v="1"/>
    <x v="1"/>
    <s v="Yes"/>
    <n v="20"/>
    <n v="10"/>
    <n v="20"/>
  </r>
  <r>
    <n v="3348"/>
    <x v="117"/>
    <x v="1"/>
    <d v="2024-06-22T00:00:00"/>
    <x v="0"/>
    <x v="1"/>
    <x v="2"/>
    <x v="1"/>
    <x v="1"/>
    <s v="No"/>
    <n v="0"/>
    <n v="0"/>
    <n v="5"/>
  </r>
  <r>
    <n v="3349"/>
    <x v="93"/>
    <x v="0"/>
    <d v="2024-06-23T00:00:00"/>
    <x v="1"/>
    <x v="0"/>
    <x v="0"/>
    <x v="0"/>
    <x v="0"/>
    <s v="Yes"/>
    <n v="20"/>
    <n v="3"/>
    <n v="62"/>
  </r>
  <r>
    <n v="3350"/>
    <x v="118"/>
    <x v="2"/>
    <d v="2024-06-24T00:00:00"/>
    <x v="0"/>
    <x v="2"/>
    <x v="1"/>
    <x v="1"/>
    <x v="1"/>
    <s v="Yes"/>
    <n v="20"/>
    <n v="15"/>
    <n v="15"/>
  </r>
  <r>
    <n v="3351"/>
    <x v="119"/>
    <x v="1"/>
    <d v="2024-06-25T00:00:00"/>
    <x v="1"/>
    <x v="1"/>
    <x v="0"/>
    <x v="1"/>
    <x v="1"/>
    <s v="No"/>
    <n v="0"/>
    <n v="1"/>
    <n v="4"/>
  </r>
  <r>
    <n v="3352"/>
    <x v="120"/>
    <x v="0"/>
    <d v="2024-06-26T00:00:00"/>
    <x v="0"/>
    <x v="0"/>
    <x v="2"/>
    <x v="0"/>
    <x v="0"/>
    <s v="Yes"/>
    <n v="20"/>
    <n v="7"/>
    <n v="58"/>
  </r>
  <r>
    <n v="3353"/>
    <x v="121"/>
    <x v="2"/>
    <d v="2024-06-27T00:00:00"/>
    <x v="1"/>
    <x v="2"/>
    <x v="0"/>
    <x v="1"/>
    <x v="1"/>
    <s v="Yes"/>
    <n v="20"/>
    <n v="10"/>
    <n v="20"/>
  </r>
  <r>
    <n v="3354"/>
    <x v="122"/>
    <x v="1"/>
    <d v="2024-06-28T00:00:00"/>
    <x v="0"/>
    <x v="1"/>
    <x v="1"/>
    <x v="1"/>
    <x v="1"/>
    <s v="No"/>
    <n v="0"/>
    <n v="0"/>
    <n v="5"/>
  </r>
  <r>
    <n v="3355"/>
    <x v="123"/>
    <x v="0"/>
    <d v="2024-06-29T00:00:00"/>
    <x v="1"/>
    <x v="0"/>
    <x v="0"/>
    <x v="0"/>
    <x v="0"/>
    <s v="Yes"/>
    <n v="20"/>
    <n v="20"/>
    <n v="45"/>
  </r>
  <r>
    <n v="3356"/>
    <x v="124"/>
    <x v="2"/>
    <d v="2024-06-30T00:00:00"/>
    <x v="0"/>
    <x v="2"/>
    <x v="2"/>
    <x v="1"/>
    <x v="1"/>
    <s v="Yes"/>
    <n v="20"/>
    <n v="15"/>
    <n v="15"/>
  </r>
  <r>
    <n v="3357"/>
    <x v="125"/>
    <x v="1"/>
    <d v="2024-07-01T00:00:00"/>
    <x v="1"/>
    <x v="1"/>
    <x v="0"/>
    <x v="1"/>
    <x v="1"/>
    <s v="No"/>
    <n v="0"/>
    <n v="1"/>
    <n v="4"/>
  </r>
  <r>
    <n v="3358"/>
    <x v="126"/>
    <x v="0"/>
    <d v="2024-07-02T00:00:00"/>
    <x v="0"/>
    <x v="0"/>
    <x v="1"/>
    <x v="0"/>
    <x v="0"/>
    <s v="Yes"/>
    <n v="20"/>
    <n v="3"/>
    <n v="62"/>
  </r>
  <r>
    <n v="3359"/>
    <x v="127"/>
    <x v="2"/>
    <d v="2024-07-03T00:00:00"/>
    <x v="1"/>
    <x v="2"/>
    <x v="0"/>
    <x v="1"/>
    <x v="1"/>
    <s v="Yes"/>
    <n v="20"/>
    <n v="10"/>
    <n v="20"/>
  </r>
  <r>
    <n v="3360"/>
    <x v="128"/>
    <x v="1"/>
    <d v="2024-07-04T00:00:00"/>
    <x v="0"/>
    <x v="1"/>
    <x v="2"/>
    <x v="1"/>
    <x v="1"/>
    <s v="No"/>
    <n v="0"/>
    <n v="0"/>
    <n v="5"/>
  </r>
  <r>
    <n v="3361"/>
    <x v="129"/>
    <x v="0"/>
    <d v="2024-07-05T00:00:00"/>
    <x v="1"/>
    <x v="0"/>
    <x v="0"/>
    <x v="0"/>
    <x v="0"/>
    <s v="Yes"/>
    <n v="20"/>
    <n v="15"/>
    <n v="50"/>
  </r>
  <r>
    <n v="3362"/>
    <x v="130"/>
    <x v="2"/>
    <d v="2024-07-06T00:00:00"/>
    <x v="0"/>
    <x v="2"/>
    <x v="1"/>
    <x v="1"/>
    <x v="1"/>
    <s v="Yes"/>
    <n v="20"/>
    <n v="15"/>
    <n v="15"/>
  </r>
  <r>
    <n v="3363"/>
    <x v="131"/>
    <x v="1"/>
    <d v="2024-07-07T00:00:00"/>
    <x v="1"/>
    <x v="1"/>
    <x v="0"/>
    <x v="1"/>
    <x v="1"/>
    <s v="No"/>
    <n v="0"/>
    <n v="1"/>
    <n v="4"/>
  </r>
  <r>
    <n v="3364"/>
    <x v="132"/>
    <x v="0"/>
    <d v="2024-07-08T00:00:00"/>
    <x v="0"/>
    <x v="0"/>
    <x v="2"/>
    <x v="0"/>
    <x v="0"/>
    <s v="Yes"/>
    <n v="20"/>
    <n v="7"/>
    <n v="58"/>
  </r>
  <r>
    <n v="3365"/>
    <x v="133"/>
    <x v="2"/>
    <d v="2024-07-09T00:00:00"/>
    <x v="1"/>
    <x v="2"/>
    <x v="0"/>
    <x v="1"/>
    <x v="1"/>
    <s v="Yes"/>
    <n v="20"/>
    <n v="10"/>
    <n v="20"/>
  </r>
  <r>
    <n v="3366"/>
    <x v="134"/>
    <x v="1"/>
    <d v="2024-07-10T00:00:00"/>
    <x v="0"/>
    <x v="1"/>
    <x v="0"/>
    <x v="1"/>
    <x v="1"/>
    <s v="No"/>
    <n v="0"/>
    <n v="0"/>
    <n v="5"/>
  </r>
  <r>
    <n v="3367"/>
    <x v="135"/>
    <x v="0"/>
    <d v="2024-07-11T00:00:00"/>
    <x v="1"/>
    <x v="0"/>
    <x v="2"/>
    <x v="0"/>
    <x v="0"/>
    <s v="Yes"/>
    <n v="20"/>
    <n v="7"/>
    <n v="58"/>
  </r>
  <r>
    <n v="3368"/>
    <x v="136"/>
    <x v="2"/>
    <d v="2024-07-12T00:00:00"/>
    <x v="0"/>
    <x v="2"/>
    <x v="1"/>
    <x v="1"/>
    <x v="1"/>
    <s v="Yes"/>
    <n v="20"/>
    <n v="10"/>
    <n v="20"/>
  </r>
  <r>
    <n v="3369"/>
    <x v="137"/>
    <x v="1"/>
    <d v="2024-07-13T00:00:00"/>
    <x v="1"/>
    <x v="1"/>
    <x v="2"/>
    <x v="1"/>
    <x v="1"/>
    <s v="No"/>
    <n v="0"/>
    <n v="1"/>
    <n v="4"/>
  </r>
  <r>
    <n v="3370"/>
    <x v="138"/>
    <x v="0"/>
    <d v="2024-07-14T00:00:00"/>
    <x v="0"/>
    <x v="0"/>
    <x v="0"/>
    <x v="0"/>
    <x v="0"/>
    <s v="Yes"/>
    <n v="20"/>
    <n v="15"/>
    <n v="50"/>
  </r>
  <r>
    <n v="3371"/>
    <x v="139"/>
    <x v="2"/>
    <d v="2024-07-15T00:00:00"/>
    <x v="1"/>
    <x v="2"/>
    <x v="0"/>
    <x v="1"/>
    <x v="1"/>
    <s v="Yes"/>
    <n v="20"/>
    <n v="5"/>
    <n v="25"/>
  </r>
  <r>
    <n v="3372"/>
    <x v="140"/>
    <x v="1"/>
    <d v="2024-07-16T00:00:00"/>
    <x v="0"/>
    <x v="1"/>
    <x v="1"/>
    <x v="1"/>
    <x v="1"/>
    <s v="No"/>
    <n v="0"/>
    <n v="0"/>
    <n v="5"/>
  </r>
  <r>
    <n v="3373"/>
    <x v="141"/>
    <x v="0"/>
    <d v="2024-07-17T00:00:00"/>
    <x v="1"/>
    <x v="0"/>
    <x v="2"/>
    <x v="0"/>
    <x v="0"/>
    <s v="Yes"/>
    <n v="20"/>
    <n v="20"/>
    <n v="45"/>
  </r>
  <r>
    <n v="3374"/>
    <x v="142"/>
    <x v="2"/>
    <d v="2024-07-18T00:00:00"/>
    <x v="0"/>
    <x v="2"/>
    <x v="2"/>
    <x v="1"/>
    <x v="1"/>
    <s v="Yes"/>
    <n v="20"/>
    <n v="12"/>
    <n v="18"/>
  </r>
  <r>
    <n v="3375"/>
    <x v="143"/>
    <x v="1"/>
    <d v="2024-07-19T00:00:00"/>
    <x v="1"/>
    <x v="1"/>
    <x v="0"/>
    <x v="1"/>
    <x v="1"/>
    <s v="No"/>
    <n v="0"/>
    <n v="2"/>
    <n v="3"/>
  </r>
  <r>
    <n v="3376"/>
    <x v="144"/>
    <x v="0"/>
    <d v="2024-07-20T00:00:00"/>
    <x v="0"/>
    <x v="0"/>
    <x v="1"/>
    <x v="0"/>
    <x v="0"/>
    <s v="Yes"/>
    <n v="20"/>
    <n v="5"/>
    <n v="60"/>
  </r>
  <r>
    <n v="3377"/>
    <x v="145"/>
    <x v="2"/>
    <d v="2024-07-21T00:00:00"/>
    <x v="1"/>
    <x v="2"/>
    <x v="0"/>
    <x v="1"/>
    <x v="1"/>
    <s v="Yes"/>
    <n v="20"/>
    <n v="10"/>
    <n v="20"/>
  </r>
  <r>
    <n v="3378"/>
    <x v="146"/>
    <x v="1"/>
    <d v="2024-07-22T00:00:00"/>
    <x v="0"/>
    <x v="1"/>
    <x v="2"/>
    <x v="1"/>
    <x v="1"/>
    <s v="No"/>
    <n v="0"/>
    <n v="0"/>
    <n v="5"/>
  </r>
  <r>
    <n v="3379"/>
    <x v="147"/>
    <x v="0"/>
    <d v="2024-07-23T00:00:00"/>
    <x v="1"/>
    <x v="0"/>
    <x v="0"/>
    <x v="0"/>
    <x v="0"/>
    <s v="Yes"/>
    <n v="20"/>
    <n v="3"/>
    <n v="62"/>
  </r>
  <r>
    <n v="3380"/>
    <x v="148"/>
    <x v="2"/>
    <d v="2024-07-24T00:00:00"/>
    <x v="0"/>
    <x v="2"/>
    <x v="1"/>
    <x v="1"/>
    <x v="1"/>
    <s v="Yes"/>
    <n v="20"/>
    <n v="15"/>
    <n v="15"/>
  </r>
  <r>
    <n v="3381"/>
    <x v="149"/>
    <x v="1"/>
    <d v="2024-07-25T00:00:00"/>
    <x v="1"/>
    <x v="1"/>
    <x v="0"/>
    <x v="1"/>
    <x v="1"/>
    <s v="No"/>
    <n v="0"/>
    <n v="1"/>
    <n v="4"/>
  </r>
  <r>
    <n v="3382"/>
    <x v="150"/>
    <x v="0"/>
    <d v="2024-07-26T00:00:00"/>
    <x v="0"/>
    <x v="0"/>
    <x v="2"/>
    <x v="0"/>
    <x v="0"/>
    <s v="Yes"/>
    <n v="20"/>
    <n v="7"/>
    <n v="58"/>
  </r>
  <r>
    <n v="3383"/>
    <x v="151"/>
    <x v="2"/>
    <d v="2024-07-27T00:00:00"/>
    <x v="1"/>
    <x v="2"/>
    <x v="0"/>
    <x v="1"/>
    <x v="1"/>
    <s v="Yes"/>
    <n v="20"/>
    <n v="10"/>
    <n v="20"/>
  </r>
  <r>
    <n v="3384"/>
    <x v="152"/>
    <x v="1"/>
    <d v="2024-07-28T00:00:00"/>
    <x v="0"/>
    <x v="1"/>
    <x v="1"/>
    <x v="1"/>
    <x v="1"/>
    <s v="No"/>
    <n v="0"/>
    <n v="0"/>
    <n v="5"/>
  </r>
  <r>
    <n v="3385"/>
    <x v="153"/>
    <x v="0"/>
    <d v="2024-07-29T00:00:00"/>
    <x v="1"/>
    <x v="0"/>
    <x v="0"/>
    <x v="0"/>
    <x v="0"/>
    <s v="Yes"/>
    <n v="20"/>
    <n v="20"/>
    <n v="45"/>
  </r>
  <r>
    <n v="3386"/>
    <x v="154"/>
    <x v="2"/>
    <d v="2024-07-30T00:00:00"/>
    <x v="0"/>
    <x v="2"/>
    <x v="2"/>
    <x v="1"/>
    <x v="1"/>
    <s v="Yes"/>
    <n v="20"/>
    <n v="15"/>
    <n v="15"/>
  </r>
  <r>
    <n v="3387"/>
    <x v="155"/>
    <x v="1"/>
    <d v="2024-07-31T00:00:00"/>
    <x v="1"/>
    <x v="1"/>
    <x v="0"/>
    <x v="1"/>
    <x v="1"/>
    <s v="No"/>
    <n v="0"/>
    <n v="1"/>
    <n v="4"/>
  </r>
  <r>
    <n v="3388"/>
    <x v="156"/>
    <x v="0"/>
    <d v="2024-08-01T00:00:00"/>
    <x v="0"/>
    <x v="0"/>
    <x v="1"/>
    <x v="0"/>
    <x v="0"/>
    <s v="Yes"/>
    <n v="20"/>
    <n v="3"/>
    <n v="62"/>
  </r>
  <r>
    <n v="3389"/>
    <x v="157"/>
    <x v="2"/>
    <d v="2024-08-02T00:00:00"/>
    <x v="1"/>
    <x v="2"/>
    <x v="0"/>
    <x v="1"/>
    <x v="1"/>
    <s v="Yes"/>
    <n v="20"/>
    <n v="10"/>
    <n v="20"/>
  </r>
  <r>
    <n v="3390"/>
    <x v="158"/>
    <x v="1"/>
    <d v="2024-08-03T00:00:00"/>
    <x v="0"/>
    <x v="1"/>
    <x v="2"/>
    <x v="1"/>
    <x v="1"/>
    <s v="No"/>
    <n v="0"/>
    <n v="0"/>
    <n v="5"/>
  </r>
  <r>
    <n v="3391"/>
    <x v="58"/>
    <x v="0"/>
    <d v="2024-08-04T00:00:00"/>
    <x v="1"/>
    <x v="0"/>
    <x v="0"/>
    <x v="0"/>
    <x v="0"/>
    <s v="Yes"/>
    <n v="20"/>
    <n v="15"/>
    <n v="50"/>
  </r>
  <r>
    <n v="3392"/>
    <x v="159"/>
    <x v="2"/>
    <d v="2024-08-05T00:00:00"/>
    <x v="0"/>
    <x v="2"/>
    <x v="1"/>
    <x v="1"/>
    <x v="1"/>
    <s v="Yes"/>
    <n v="20"/>
    <n v="15"/>
    <n v="15"/>
  </r>
  <r>
    <n v="3393"/>
    <x v="160"/>
    <x v="1"/>
    <d v="2024-08-06T00:00:00"/>
    <x v="1"/>
    <x v="1"/>
    <x v="0"/>
    <x v="1"/>
    <x v="1"/>
    <s v="No"/>
    <n v="0"/>
    <n v="1"/>
    <n v="4"/>
  </r>
  <r>
    <n v="3394"/>
    <x v="161"/>
    <x v="0"/>
    <d v="2024-08-07T00:00:00"/>
    <x v="0"/>
    <x v="0"/>
    <x v="2"/>
    <x v="0"/>
    <x v="0"/>
    <s v="Yes"/>
    <n v="20"/>
    <n v="7"/>
    <n v="58"/>
  </r>
  <r>
    <n v="3395"/>
    <x v="162"/>
    <x v="2"/>
    <d v="2024-08-08T00:00:00"/>
    <x v="1"/>
    <x v="2"/>
    <x v="0"/>
    <x v="1"/>
    <x v="1"/>
    <s v="Yes"/>
    <n v="20"/>
    <n v="10"/>
    <n v="20"/>
  </r>
  <r>
    <n v="3396"/>
    <x v="163"/>
    <x v="1"/>
    <d v="2024-08-09T00:00:00"/>
    <x v="0"/>
    <x v="1"/>
    <x v="1"/>
    <x v="1"/>
    <x v="1"/>
    <s v="No"/>
    <n v="0"/>
    <n v="0"/>
    <n v="5"/>
  </r>
  <r>
    <n v="3397"/>
    <x v="90"/>
    <x v="0"/>
    <d v="2024-08-10T00:00:00"/>
    <x v="1"/>
    <x v="0"/>
    <x v="0"/>
    <x v="0"/>
    <x v="0"/>
    <s v="Yes"/>
    <n v="20"/>
    <n v="20"/>
    <n v="45"/>
  </r>
  <r>
    <n v="3398"/>
    <x v="164"/>
    <x v="2"/>
    <d v="2024-08-11T00:00:00"/>
    <x v="0"/>
    <x v="2"/>
    <x v="2"/>
    <x v="1"/>
    <x v="1"/>
    <s v="Yes"/>
    <n v="20"/>
    <n v="15"/>
    <n v="15"/>
  </r>
  <r>
    <n v="3399"/>
    <x v="165"/>
    <x v="1"/>
    <d v="2024-08-12T00:00:00"/>
    <x v="1"/>
    <x v="1"/>
    <x v="0"/>
    <x v="1"/>
    <x v="1"/>
    <s v="No"/>
    <n v="0"/>
    <n v="1"/>
    <n v="4"/>
  </r>
  <r>
    <n v="3400"/>
    <x v="166"/>
    <x v="0"/>
    <d v="2024-08-13T00:00:00"/>
    <x v="0"/>
    <x v="0"/>
    <x v="1"/>
    <x v="0"/>
    <x v="0"/>
    <s v="Yes"/>
    <n v="20"/>
    <n v="5"/>
    <n v="60"/>
  </r>
  <r>
    <n v="3401"/>
    <x v="167"/>
    <x v="2"/>
    <d v="2024-08-14T00:00:00"/>
    <x v="1"/>
    <x v="2"/>
    <x v="0"/>
    <x v="1"/>
    <x v="1"/>
    <s v="Yes"/>
    <n v="20"/>
    <n v="10"/>
    <n v="20"/>
  </r>
  <r>
    <n v="3402"/>
    <x v="168"/>
    <x v="1"/>
    <d v="2024-08-15T00:00:00"/>
    <x v="0"/>
    <x v="1"/>
    <x v="2"/>
    <x v="1"/>
    <x v="1"/>
    <s v="No"/>
    <n v="0"/>
    <n v="0"/>
    <n v="5"/>
  </r>
  <r>
    <n v="3403"/>
    <x v="169"/>
    <x v="0"/>
    <d v="2024-08-16T00:00:00"/>
    <x v="1"/>
    <x v="0"/>
    <x v="0"/>
    <x v="0"/>
    <x v="0"/>
    <s v="Yes"/>
    <n v="20"/>
    <n v="3"/>
    <n v="62"/>
  </r>
  <r>
    <n v="3404"/>
    <x v="170"/>
    <x v="2"/>
    <d v="2024-08-17T00:00:00"/>
    <x v="0"/>
    <x v="2"/>
    <x v="1"/>
    <x v="1"/>
    <x v="1"/>
    <s v="Yes"/>
    <n v="20"/>
    <n v="15"/>
    <n v="15"/>
  </r>
  <r>
    <n v="3405"/>
    <x v="171"/>
    <x v="1"/>
    <d v="2024-08-18T00:00:00"/>
    <x v="1"/>
    <x v="1"/>
    <x v="0"/>
    <x v="1"/>
    <x v="1"/>
    <s v="No"/>
    <n v="0"/>
    <n v="1"/>
    <n v="4"/>
  </r>
  <r>
    <n v="3406"/>
    <x v="172"/>
    <x v="1"/>
    <d v="2024-08-19T00:00:00"/>
    <x v="0"/>
    <x v="1"/>
    <x v="0"/>
    <x v="1"/>
    <x v="1"/>
    <s v="No"/>
    <n v="0"/>
    <n v="0"/>
    <n v="5"/>
  </r>
  <r>
    <n v="3407"/>
    <x v="173"/>
    <x v="0"/>
    <d v="2024-08-20T00:00:00"/>
    <x v="1"/>
    <x v="0"/>
    <x v="2"/>
    <x v="0"/>
    <x v="0"/>
    <s v="Yes"/>
    <n v="20"/>
    <n v="7"/>
    <n v="58"/>
  </r>
  <r>
    <n v="3408"/>
    <x v="174"/>
    <x v="2"/>
    <d v="2024-08-21T00:00:00"/>
    <x v="0"/>
    <x v="2"/>
    <x v="1"/>
    <x v="1"/>
    <x v="1"/>
    <s v="Yes"/>
    <n v="20"/>
    <n v="10"/>
    <n v="20"/>
  </r>
  <r>
    <n v="3409"/>
    <x v="175"/>
    <x v="1"/>
    <d v="2024-08-22T00:00:00"/>
    <x v="1"/>
    <x v="1"/>
    <x v="2"/>
    <x v="1"/>
    <x v="1"/>
    <s v="No"/>
    <n v="0"/>
    <n v="1"/>
    <n v="4"/>
  </r>
  <r>
    <n v="3410"/>
    <x v="176"/>
    <x v="0"/>
    <d v="2024-08-23T00:00:00"/>
    <x v="0"/>
    <x v="0"/>
    <x v="0"/>
    <x v="0"/>
    <x v="0"/>
    <s v="Yes"/>
    <n v="20"/>
    <n v="15"/>
    <n v="50"/>
  </r>
  <r>
    <n v="3411"/>
    <x v="177"/>
    <x v="2"/>
    <d v="2024-08-24T00:00:00"/>
    <x v="1"/>
    <x v="2"/>
    <x v="0"/>
    <x v="1"/>
    <x v="1"/>
    <s v="Yes"/>
    <n v="20"/>
    <n v="5"/>
    <n v="25"/>
  </r>
  <r>
    <n v="3412"/>
    <x v="178"/>
    <x v="1"/>
    <d v="2024-08-25T00:00:00"/>
    <x v="0"/>
    <x v="1"/>
    <x v="1"/>
    <x v="1"/>
    <x v="1"/>
    <s v="No"/>
    <n v="0"/>
    <n v="0"/>
    <n v="5"/>
  </r>
  <r>
    <n v="3413"/>
    <x v="179"/>
    <x v="0"/>
    <d v="2024-08-26T00:00:00"/>
    <x v="1"/>
    <x v="0"/>
    <x v="2"/>
    <x v="0"/>
    <x v="0"/>
    <s v="Yes"/>
    <n v="20"/>
    <n v="20"/>
    <n v="45"/>
  </r>
  <r>
    <n v="3414"/>
    <x v="180"/>
    <x v="2"/>
    <d v="2024-08-27T00:00:00"/>
    <x v="0"/>
    <x v="2"/>
    <x v="2"/>
    <x v="1"/>
    <x v="1"/>
    <s v="Yes"/>
    <n v="20"/>
    <n v="12"/>
    <n v="18"/>
  </r>
  <r>
    <n v="3415"/>
    <x v="181"/>
    <x v="1"/>
    <d v="2024-08-28T00:00:00"/>
    <x v="1"/>
    <x v="1"/>
    <x v="0"/>
    <x v="1"/>
    <x v="1"/>
    <s v="No"/>
    <n v="0"/>
    <n v="2"/>
    <n v="3"/>
  </r>
  <r>
    <n v="3416"/>
    <x v="182"/>
    <x v="0"/>
    <d v="2024-08-29T00:00:00"/>
    <x v="0"/>
    <x v="0"/>
    <x v="1"/>
    <x v="0"/>
    <x v="0"/>
    <s v="Yes"/>
    <n v="20"/>
    <n v="5"/>
    <n v="60"/>
  </r>
  <r>
    <n v="3417"/>
    <x v="183"/>
    <x v="2"/>
    <d v="2024-08-30T00:00:00"/>
    <x v="1"/>
    <x v="2"/>
    <x v="0"/>
    <x v="1"/>
    <x v="1"/>
    <s v="Yes"/>
    <n v="20"/>
    <n v="10"/>
    <n v="20"/>
  </r>
  <r>
    <n v="3418"/>
    <x v="184"/>
    <x v="1"/>
    <d v="2024-08-31T00:00:00"/>
    <x v="0"/>
    <x v="1"/>
    <x v="2"/>
    <x v="1"/>
    <x v="1"/>
    <s v="No"/>
    <n v="0"/>
    <n v="0"/>
    <n v="5"/>
  </r>
  <r>
    <n v="3419"/>
    <x v="185"/>
    <x v="0"/>
    <d v="2024-09-01T00:00:00"/>
    <x v="1"/>
    <x v="0"/>
    <x v="0"/>
    <x v="0"/>
    <x v="0"/>
    <s v="Yes"/>
    <n v="20"/>
    <n v="3"/>
    <n v="62"/>
  </r>
  <r>
    <n v="3420"/>
    <x v="186"/>
    <x v="2"/>
    <d v="2024-09-02T00:00:00"/>
    <x v="0"/>
    <x v="2"/>
    <x v="1"/>
    <x v="1"/>
    <x v="1"/>
    <s v="Yes"/>
    <n v="20"/>
    <n v="15"/>
    <n v="15"/>
  </r>
  <r>
    <n v="3421"/>
    <x v="15"/>
    <x v="1"/>
    <d v="2024-09-03T00:00:00"/>
    <x v="1"/>
    <x v="1"/>
    <x v="0"/>
    <x v="1"/>
    <x v="1"/>
    <s v="No"/>
    <n v="0"/>
    <n v="1"/>
    <n v="4"/>
  </r>
  <r>
    <n v="3422"/>
    <x v="187"/>
    <x v="0"/>
    <d v="2024-09-04T00:00:00"/>
    <x v="0"/>
    <x v="0"/>
    <x v="2"/>
    <x v="0"/>
    <x v="0"/>
    <s v="Yes"/>
    <n v="20"/>
    <n v="7"/>
    <n v="58"/>
  </r>
  <r>
    <n v="3423"/>
    <x v="188"/>
    <x v="2"/>
    <d v="2024-09-05T00:00:00"/>
    <x v="1"/>
    <x v="2"/>
    <x v="0"/>
    <x v="1"/>
    <x v="1"/>
    <s v="Yes"/>
    <n v="20"/>
    <n v="10"/>
    <n v="20"/>
  </r>
  <r>
    <n v="3424"/>
    <x v="14"/>
    <x v="1"/>
    <d v="2024-09-06T00:00:00"/>
    <x v="0"/>
    <x v="1"/>
    <x v="1"/>
    <x v="1"/>
    <x v="1"/>
    <s v="No"/>
    <n v="0"/>
    <n v="0"/>
    <n v="5"/>
  </r>
  <r>
    <n v="3425"/>
    <x v="189"/>
    <x v="0"/>
    <d v="2024-09-07T00:00:00"/>
    <x v="1"/>
    <x v="0"/>
    <x v="0"/>
    <x v="0"/>
    <x v="0"/>
    <s v="Yes"/>
    <n v="20"/>
    <n v="20"/>
    <n v="45"/>
  </r>
  <r>
    <n v="3426"/>
    <x v="167"/>
    <x v="2"/>
    <d v="2024-09-08T00:00:00"/>
    <x v="0"/>
    <x v="2"/>
    <x v="2"/>
    <x v="1"/>
    <x v="1"/>
    <s v="Yes"/>
    <n v="20"/>
    <n v="15"/>
    <n v="15"/>
  </r>
  <r>
    <n v="3427"/>
    <x v="190"/>
    <x v="1"/>
    <d v="2024-09-09T00:00:00"/>
    <x v="1"/>
    <x v="1"/>
    <x v="0"/>
    <x v="1"/>
    <x v="1"/>
    <s v="No"/>
    <n v="0"/>
    <n v="1"/>
    <n v="4"/>
  </r>
  <r>
    <n v="3428"/>
    <x v="191"/>
    <x v="0"/>
    <d v="2024-09-10T00:00:00"/>
    <x v="0"/>
    <x v="0"/>
    <x v="1"/>
    <x v="0"/>
    <x v="0"/>
    <s v="Yes"/>
    <n v="20"/>
    <n v="3"/>
    <n v="62"/>
  </r>
  <r>
    <n v="3429"/>
    <x v="192"/>
    <x v="2"/>
    <d v="2024-09-11T00:00:00"/>
    <x v="1"/>
    <x v="2"/>
    <x v="0"/>
    <x v="1"/>
    <x v="1"/>
    <s v="Yes"/>
    <n v="20"/>
    <n v="10"/>
    <n v="20"/>
  </r>
  <r>
    <n v="3430"/>
    <x v="193"/>
    <x v="1"/>
    <d v="2024-09-12T00:00:00"/>
    <x v="0"/>
    <x v="1"/>
    <x v="2"/>
    <x v="1"/>
    <x v="1"/>
    <s v="No"/>
    <n v="0"/>
    <n v="0"/>
    <n v="5"/>
  </r>
  <r>
    <n v="3431"/>
    <x v="194"/>
    <x v="0"/>
    <d v="2024-09-13T00:00:00"/>
    <x v="1"/>
    <x v="0"/>
    <x v="0"/>
    <x v="0"/>
    <x v="0"/>
    <s v="Yes"/>
    <n v="20"/>
    <n v="15"/>
    <n v="50"/>
  </r>
  <r>
    <n v="3432"/>
    <x v="195"/>
    <x v="2"/>
    <d v="2024-09-14T00:00:00"/>
    <x v="0"/>
    <x v="2"/>
    <x v="1"/>
    <x v="1"/>
    <x v="1"/>
    <s v="Yes"/>
    <n v="20"/>
    <n v="15"/>
    <n v="15"/>
  </r>
  <r>
    <n v="3433"/>
    <x v="196"/>
    <x v="1"/>
    <d v="2024-09-15T00:00:00"/>
    <x v="1"/>
    <x v="1"/>
    <x v="0"/>
    <x v="1"/>
    <x v="1"/>
    <s v="No"/>
    <n v="0"/>
    <n v="1"/>
    <n v="4"/>
  </r>
  <r>
    <n v="3434"/>
    <x v="197"/>
    <x v="0"/>
    <d v="2024-09-16T00:00:00"/>
    <x v="0"/>
    <x v="0"/>
    <x v="2"/>
    <x v="0"/>
    <x v="0"/>
    <s v="Yes"/>
    <n v="20"/>
    <n v="7"/>
    <n v="58"/>
  </r>
  <r>
    <n v="3435"/>
    <x v="198"/>
    <x v="2"/>
    <d v="2024-09-17T00:00:00"/>
    <x v="1"/>
    <x v="2"/>
    <x v="0"/>
    <x v="1"/>
    <x v="1"/>
    <s v="Yes"/>
    <n v="20"/>
    <n v="10"/>
    <n v="20"/>
  </r>
  <r>
    <n v="3436"/>
    <x v="199"/>
    <x v="1"/>
    <d v="2024-09-18T00:00:00"/>
    <x v="0"/>
    <x v="1"/>
    <x v="0"/>
    <x v="1"/>
    <x v="1"/>
    <s v="No"/>
    <n v="0"/>
    <n v="0"/>
    <n v="5"/>
  </r>
  <r>
    <n v="3437"/>
    <x v="200"/>
    <x v="0"/>
    <d v="2024-09-19T00:00:00"/>
    <x v="1"/>
    <x v="0"/>
    <x v="2"/>
    <x v="0"/>
    <x v="0"/>
    <s v="Yes"/>
    <n v="20"/>
    <n v="7"/>
    <n v="58"/>
  </r>
  <r>
    <n v="3438"/>
    <x v="201"/>
    <x v="2"/>
    <d v="2024-09-20T00:00:00"/>
    <x v="0"/>
    <x v="2"/>
    <x v="1"/>
    <x v="1"/>
    <x v="1"/>
    <s v="Yes"/>
    <n v="20"/>
    <n v="10"/>
    <n v="20"/>
  </r>
  <r>
    <n v="3439"/>
    <x v="202"/>
    <x v="1"/>
    <d v="2024-09-21T00:00:00"/>
    <x v="1"/>
    <x v="1"/>
    <x v="2"/>
    <x v="1"/>
    <x v="1"/>
    <s v="No"/>
    <n v="0"/>
    <n v="1"/>
    <n v="4"/>
  </r>
  <r>
    <n v="3440"/>
    <x v="203"/>
    <x v="0"/>
    <d v="2024-09-22T00:00:00"/>
    <x v="0"/>
    <x v="0"/>
    <x v="0"/>
    <x v="0"/>
    <x v="0"/>
    <s v="Yes"/>
    <n v="20"/>
    <n v="15"/>
    <n v="50"/>
  </r>
  <r>
    <n v="3441"/>
    <x v="204"/>
    <x v="2"/>
    <d v="2024-09-23T00:00:00"/>
    <x v="1"/>
    <x v="2"/>
    <x v="0"/>
    <x v="1"/>
    <x v="1"/>
    <s v="Yes"/>
    <n v="20"/>
    <n v="5"/>
    <n v="25"/>
  </r>
  <r>
    <n v="3442"/>
    <x v="205"/>
    <x v="1"/>
    <d v="2024-09-24T00:00:00"/>
    <x v="0"/>
    <x v="1"/>
    <x v="1"/>
    <x v="1"/>
    <x v="1"/>
    <s v="No"/>
    <n v="0"/>
    <n v="0"/>
    <n v="5"/>
  </r>
  <r>
    <n v="3443"/>
    <x v="206"/>
    <x v="0"/>
    <d v="2024-09-25T00:00:00"/>
    <x v="1"/>
    <x v="0"/>
    <x v="2"/>
    <x v="0"/>
    <x v="0"/>
    <s v="Yes"/>
    <n v="20"/>
    <n v="20"/>
    <n v="45"/>
  </r>
  <r>
    <n v="3444"/>
    <x v="207"/>
    <x v="2"/>
    <d v="2024-09-26T00:00:00"/>
    <x v="0"/>
    <x v="2"/>
    <x v="2"/>
    <x v="1"/>
    <x v="1"/>
    <s v="Yes"/>
    <n v="20"/>
    <n v="12"/>
    <n v="18"/>
  </r>
  <r>
    <n v="3445"/>
    <x v="37"/>
    <x v="1"/>
    <d v="2024-09-27T00:00:00"/>
    <x v="1"/>
    <x v="1"/>
    <x v="0"/>
    <x v="1"/>
    <x v="1"/>
    <s v="No"/>
    <n v="0"/>
    <n v="2"/>
    <n v="3"/>
  </r>
  <r>
    <n v="3446"/>
    <x v="208"/>
    <x v="0"/>
    <d v="2024-09-28T00:00:00"/>
    <x v="0"/>
    <x v="0"/>
    <x v="1"/>
    <x v="0"/>
    <x v="0"/>
    <s v="Yes"/>
    <n v="20"/>
    <n v="5"/>
    <n v="60"/>
  </r>
  <r>
    <n v="3447"/>
    <x v="209"/>
    <x v="2"/>
    <d v="2024-09-29T00:00:00"/>
    <x v="1"/>
    <x v="2"/>
    <x v="0"/>
    <x v="1"/>
    <x v="1"/>
    <s v="Yes"/>
    <n v="20"/>
    <n v="10"/>
    <n v="20"/>
  </r>
  <r>
    <n v="3448"/>
    <x v="210"/>
    <x v="1"/>
    <d v="2024-09-30T00:00:00"/>
    <x v="0"/>
    <x v="1"/>
    <x v="2"/>
    <x v="1"/>
    <x v="1"/>
    <s v="No"/>
    <n v="0"/>
    <n v="0"/>
    <n v="5"/>
  </r>
  <r>
    <n v="3449"/>
    <x v="211"/>
    <x v="0"/>
    <d v="2024-10-01T00:00:00"/>
    <x v="1"/>
    <x v="0"/>
    <x v="0"/>
    <x v="0"/>
    <x v="0"/>
    <s v="Yes"/>
    <n v="20"/>
    <n v="3"/>
    <n v="62"/>
  </r>
  <r>
    <n v="3450"/>
    <x v="212"/>
    <x v="2"/>
    <d v="2024-10-02T00:00:00"/>
    <x v="0"/>
    <x v="2"/>
    <x v="1"/>
    <x v="1"/>
    <x v="1"/>
    <s v="Yes"/>
    <n v="20"/>
    <n v="15"/>
    <n v="15"/>
  </r>
  <r>
    <n v="3451"/>
    <x v="213"/>
    <x v="1"/>
    <d v="2024-10-03T00:00:00"/>
    <x v="1"/>
    <x v="1"/>
    <x v="0"/>
    <x v="1"/>
    <x v="1"/>
    <s v="No"/>
    <n v="0"/>
    <n v="1"/>
    <n v="4"/>
  </r>
  <r>
    <n v="3452"/>
    <x v="191"/>
    <x v="0"/>
    <d v="2024-10-04T00:00:00"/>
    <x v="0"/>
    <x v="0"/>
    <x v="2"/>
    <x v="0"/>
    <x v="0"/>
    <s v="Yes"/>
    <n v="20"/>
    <n v="7"/>
    <n v="58"/>
  </r>
  <r>
    <n v="3453"/>
    <x v="45"/>
    <x v="2"/>
    <d v="2024-10-05T00:00:00"/>
    <x v="1"/>
    <x v="2"/>
    <x v="0"/>
    <x v="1"/>
    <x v="1"/>
    <s v="Yes"/>
    <n v="20"/>
    <n v="10"/>
    <n v="20"/>
  </r>
  <r>
    <n v="3454"/>
    <x v="214"/>
    <x v="1"/>
    <d v="2024-10-06T00:00:00"/>
    <x v="0"/>
    <x v="1"/>
    <x v="1"/>
    <x v="1"/>
    <x v="1"/>
    <s v="No"/>
    <n v="0"/>
    <n v="0"/>
    <n v="5"/>
  </r>
  <r>
    <n v="3455"/>
    <x v="215"/>
    <x v="0"/>
    <d v="2024-10-07T00:00:00"/>
    <x v="1"/>
    <x v="0"/>
    <x v="0"/>
    <x v="0"/>
    <x v="0"/>
    <s v="Yes"/>
    <n v="20"/>
    <n v="20"/>
    <n v="45"/>
  </r>
  <r>
    <n v="3456"/>
    <x v="216"/>
    <x v="2"/>
    <d v="2024-10-08T00:00:00"/>
    <x v="0"/>
    <x v="2"/>
    <x v="2"/>
    <x v="1"/>
    <x v="1"/>
    <s v="Yes"/>
    <n v="20"/>
    <n v="15"/>
    <n v="15"/>
  </r>
  <r>
    <n v="3457"/>
    <x v="217"/>
    <x v="1"/>
    <d v="2024-10-09T00:00:00"/>
    <x v="1"/>
    <x v="1"/>
    <x v="0"/>
    <x v="1"/>
    <x v="1"/>
    <s v="No"/>
    <n v="0"/>
    <n v="1"/>
    <n v="4"/>
  </r>
  <r>
    <n v="3458"/>
    <x v="218"/>
    <x v="0"/>
    <d v="2024-10-10T00:00:00"/>
    <x v="0"/>
    <x v="0"/>
    <x v="1"/>
    <x v="0"/>
    <x v="0"/>
    <s v="Yes"/>
    <n v="20"/>
    <n v="3"/>
    <n v="62"/>
  </r>
  <r>
    <n v="3459"/>
    <x v="219"/>
    <x v="2"/>
    <d v="2024-10-11T00:00:00"/>
    <x v="1"/>
    <x v="2"/>
    <x v="0"/>
    <x v="1"/>
    <x v="1"/>
    <s v="Yes"/>
    <n v="20"/>
    <n v="10"/>
    <n v="20"/>
  </r>
  <r>
    <n v="3460"/>
    <x v="127"/>
    <x v="1"/>
    <d v="2024-10-12T00:00:00"/>
    <x v="0"/>
    <x v="1"/>
    <x v="2"/>
    <x v="1"/>
    <x v="1"/>
    <s v="No"/>
    <n v="0"/>
    <n v="0"/>
    <n v="5"/>
  </r>
  <r>
    <n v="3461"/>
    <x v="220"/>
    <x v="0"/>
    <d v="2024-10-13T00:00:00"/>
    <x v="1"/>
    <x v="0"/>
    <x v="0"/>
    <x v="0"/>
    <x v="0"/>
    <s v="Yes"/>
    <n v="20"/>
    <n v="15"/>
    <n v="50"/>
  </r>
  <r>
    <n v="3462"/>
    <x v="221"/>
    <x v="2"/>
    <d v="2024-10-14T00:00:00"/>
    <x v="0"/>
    <x v="2"/>
    <x v="1"/>
    <x v="1"/>
    <x v="1"/>
    <s v="Yes"/>
    <n v="20"/>
    <n v="15"/>
    <n v="15"/>
  </r>
  <r>
    <n v="3463"/>
    <x v="222"/>
    <x v="1"/>
    <d v="2024-10-15T00:00:00"/>
    <x v="1"/>
    <x v="1"/>
    <x v="0"/>
    <x v="1"/>
    <x v="1"/>
    <s v="No"/>
    <n v="0"/>
    <n v="1"/>
    <n v="4"/>
  </r>
  <r>
    <n v="3464"/>
    <x v="223"/>
    <x v="0"/>
    <d v="2024-10-16T00:00:00"/>
    <x v="0"/>
    <x v="0"/>
    <x v="2"/>
    <x v="0"/>
    <x v="0"/>
    <s v="Yes"/>
    <n v="20"/>
    <n v="7"/>
    <n v="58"/>
  </r>
  <r>
    <n v="3465"/>
    <x v="224"/>
    <x v="2"/>
    <d v="2024-10-17T00:00:00"/>
    <x v="1"/>
    <x v="2"/>
    <x v="0"/>
    <x v="1"/>
    <x v="1"/>
    <s v="Yes"/>
    <n v="20"/>
    <n v="10"/>
    <n v="20"/>
  </r>
  <r>
    <n v="3466"/>
    <x v="225"/>
    <x v="1"/>
    <d v="2024-10-18T00:00:00"/>
    <x v="0"/>
    <x v="1"/>
    <x v="1"/>
    <x v="1"/>
    <x v="1"/>
    <s v="No"/>
    <n v="0"/>
    <n v="0"/>
    <n v="5"/>
  </r>
  <r>
    <n v="3467"/>
    <x v="226"/>
    <x v="0"/>
    <d v="2024-10-19T00:00:00"/>
    <x v="1"/>
    <x v="0"/>
    <x v="0"/>
    <x v="0"/>
    <x v="0"/>
    <s v="Yes"/>
    <n v="20"/>
    <n v="15"/>
    <n v="50"/>
  </r>
  <r>
    <n v="3468"/>
    <x v="227"/>
    <x v="2"/>
    <d v="2024-10-20T00:00:00"/>
    <x v="0"/>
    <x v="2"/>
    <x v="2"/>
    <x v="1"/>
    <x v="1"/>
    <s v="Yes"/>
    <n v="20"/>
    <n v="12"/>
    <n v="18"/>
  </r>
  <r>
    <n v="3469"/>
    <x v="228"/>
    <x v="1"/>
    <d v="2024-10-21T00:00:00"/>
    <x v="1"/>
    <x v="1"/>
    <x v="0"/>
    <x v="1"/>
    <x v="1"/>
    <s v="No"/>
    <n v="0"/>
    <n v="2"/>
    <n v="3"/>
  </r>
  <r>
    <n v="3470"/>
    <x v="229"/>
    <x v="0"/>
    <d v="2024-10-22T00:00:00"/>
    <x v="0"/>
    <x v="0"/>
    <x v="1"/>
    <x v="0"/>
    <x v="0"/>
    <s v="Yes"/>
    <n v="20"/>
    <n v="5"/>
    <n v="60"/>
  </r>
  <r>
    <n v="3471"/>
    <x v="230"/>
    <x v="2"/>
    <d v="2024-10-23T00:00:00"/>
    <x v="1"/>
    <x v="2"/>
    <x v="0"/>
    <x v="1"/>
    <x v="1"/>
    <s v="Yes"/>
    <n v="20"/>
    <n v="10"/>
    <n v="20"/>
  </r>
  <r>
    <n v="3472"/>
    <x v="231"/>
    <x v="1"/>
    <d v="2024-10-24T00:00:00"/>
    <x v="0"/>
    <x v="1"/>
    <x v="2"/>
    <x v="1"/>
    <x v="1"/>
    <s v="No"/>
    <n v="0"/>
    <n v="0"/>
    <n v="5"/>
  </r>
  <r>
    <n v="3473"/>
    <x v="140"/>
    <x v="0"/>
    <d v="2024-10-25T00:00:00"/>
    <x v="1"/>
    <x v="0"/>
    <x v="0"/>
    <x v="0"/>
    <x v="0"/>
    <s v="Yes"/>
    <n v="20"/>
    <n v="3"/>
    <n v="62"/>
  </r>
  <r>
    <n v="3474"/>
    <x v="232"/>
    <x v="2"/>
    <d v="2024-10-26T00:00:00"/>
    <x v="0"/>
    <x v="2"/>
    <x v="1"/>
    <x v="1"/>
    <x v="1"/>
    <s v="Yes"/>
    <n v="20"/>
    <n v="15"/>
    <n v="15"/>
  </r>
  <r>
    <n v="3475"/>
    <x v="233"/>
    <x v="1"/>
    <d v="2024-10-27T00:00:00"/>
    <x v="1"/>
    <x v="1"/>
    <x v="0"/>
    <x v="1"/>
    <x v="1"/>
    <s v="No"/>
    <n v="0"/>
    <n v="1"/>
    <n v="4"/>
  </r>
  <r>
    <n v="3476"/>
    <x v="234"/>
    <x v="0"/>
    <d v="2024-10-28T00:00:00"/>
    <x v="0"/>
    <x v="0"/>
    <x v="2"/>
    <x v="0"/>
    <x v="0"/>
    <s v="Yes"/>
    <n v="20"/>
    <n v="7"/>
    <n v="58"/>
  </r>
  <r>
    <n v="3477"/>
    <x v="235"/>
    <x v="2"/>
    <d v="2024-10-29T00:00:00"/>
    <x v="1"/>
    <x v="2"/>
    <x v="0"/>
    <x v="1"/>
    <x v="1"/>
    <s v="Yes"/>
    <n v="20"/>
    <n v="10"/>
    <n v="20"/>
  </r>
  <r>
    <n v="3478"/>
    <x v="236"/>
    <x v="1"/>
    <d v="2024-10-30T00:00:00"/>
    <x v="0"/>
    <x v="1"/>
    <x v="1"/>
    <x v="1"/>
    <x v="1"/>
    <s v="No"/>
    <n v="0"/>
    <n v="0"/>
    <n v="5"/>
  </r>
  <r>
    <n v="3479"/>
    <x v="237"/>
    <x v="0"/>
    <d v="2024-10-31T00:00:00"/>
    <x v="1"/>
    <x v="0"/>
    <x v="0"/>
    <x v="0"/>
    <x v="0"/>
    <s v="Yes"/>
    <n v="20"/>
    <n v="20"/>
    <n v="45"/>
  </r>
  <r>
    <n v="3480"/>
    <x v="238"/>
    <x v="2"/>
    <d v="2024-11-01T00:00:00"/>
    <x v="0"/>
    <x v="2"/>
    <x v="2"/>
    <x v="1"/>
    <x v="1"/>
    <s v="Yes"/>
    <n v="20"/>
    <n v="15"/>
    <n v="15"/>
  </r>
  <r>
    <n v="3481"/>
    <x v="239"/>
    <x v="1"/>
    <d v="2024-11-02T00:00:00"/>
    <x v="1"/>
    <x v="1"/>
    <x v="0"/>
    <x v="1"/>
    <x v="1"/>
    <s v="No"/>
    <n v="0"/>
    <n v="1"/>
    <n v="4"/>
  </r>
  <r>
    <n v="3482"/>
    <x v="240"/>
    <x v="0"/>
    <d v="2024-11-03T00:00:00"/>
    <x v="0"/>
    <x v="0"/>
    <x v="1"/>
    <x v="0"/>
    <x v="0"/>
    <s v="Yes"/>
    <n v="20"/>
    <n v="3"/>
    <n v="62"/>
  </r>
  <r>
    <n v="3483"/>
    <x v="241"/>
    <x v="2"/>
    <d v="2024-11-04T00:00:00"/>
    <x v="1"/>
    <x v="2"/>
    <x v="0"/>
    <x v="1"/>
    <x v="1"/>
    <s v="Yes"/>
    <n v="20"/>
    <n v="10"/>
    <n v="20"/>
  </r>
  <r>
    <n v="3484"/>
    <x v="242"/>
    <x v="1"/>
    <d v="2024-11-05T00:00:00"/>
    <x v="0"/>
    <x v="1"/>
    <x v="2"/>
    <x v="1"/>
    <x v="1"/>
    <s v="No"/>
    <n v="0"/>
    <n v="0"/>
    <n v="5"/>
  </r>
  <r>
    <n v="3485"/>
    <x v="243"/>
    <x v="0"/>
    <d v="2024-11-06T00:00:00"/>
    <x v="1"/>
    <x v="0"/>
    <x v="0"/>
    <x v="0"/>
    <x v="0"/>
    <s v="Yes"/>
    <n v="20"/>
    <n v="15"/>
    <n v="50"/>
  </r>
  <r>
    <n v="3486"/>
    <x v="244"/>
    <x v="1"/>
    <d v="2024-11-07T00:00:00"/>
    <x v="0"/>
    <x v="1"/>
    <x v="0"/>
    <x v="1"/>
    <x v="1"/>
    <s v="No"/>
    <n v="0"/>
    <n v="0"/>
    <n v="5"/>
  </r>
  <r>
    <n v="3487"/>
    <x v="245"/>
    <x v="0"/>
    <d v="2024-11-08T00:00:00"/>
    <x v="1"/>
    <x v="0"/>
    <x v="2"/>
    <x v="0"/>
    <x v="0"/>
    <s v="Yes"/>
    <n v="20"/>
    <n v="7"/>
    <n v="58"/>
  </r>
  <r>
    <n v="3488"/>
    <x v="246"/>
    <x v="2"/>
    <d v="2024-11-09T00:00:00"/>
    <x v="0"/>
    <x v="2"/>
    <x v="1"/>
    <x v="1"/>
    <x v="1"/>
    <s v="Yes"/>
    <n v="20"/>
    <n v="10"/>
    <n v="20"/>
  </r>
  <r>
    <n v="3489"/>
    <x v="247"/>
    <x v="1"/>
    <d v="2024-11-10T00:00:00"/>
    <x v="1"/>
    <x v="1"/>
    <x v="2"/>
    <x v="1"/>
    <x v="1"/>
    <s v="No"/>
    <n v="0"/>
    <n v="1"/>
    <n v="4"/>
  </r>
  <r>
    <n v="3490"/>
    <x v="248"/>
    <x v="0"/>
    <d v="2024-11-11T00:00:00"/>
    <x v="0"/>
    <x v="0"/>
    <x v="0"/>
    <x v="0"/>
    <x v="0"/>
    <s v="Yes"/>
    <n v="20"/>
    <n v="15"/>
    <n v="50"/>
  </r>
  <r>
    <n v="3491"/>
    <x v="249"/>
    <x v="2"/>
    <d v="2024-11-12T00:00:00"/>
    <x v="1"/>
    <x v="2"/>
    <x v="0"/>
    <x v="1"/>
    <x v="1"/>
    <s v="Yes"/>
    <n v="20"/>
    <n v="5"/>
    <n v="25"/>
  </r>
  <r>
    <n v="3492"/>
    <x v="250"/>
    <x v="1"/>
    <d v="2024-11-13T00:00:00"/>
    <x v="0"/>
    <x v="1"/>
    <x v="1"/>
    <x v="1"/>
    <x v="1"/>
    <s v="No"/>
    <n v="0"/>
    <n v="0"/>
    <n v="5"/>
  </r>
  <r>
    <n v="3493"/>
    <x v="251"/>
    <x v="0"/>
    <d v="2024-11-14T00:00:00"/>
    <x v="1"/>
    <x v="0"/>
    <x v="2"/>
    <x v="0"/>
    <x v="0"/>
    <s v="Yes"/>
    <n v="20"/>
    <n v="20"/>
    <n v="45"/>
  </r>
  <r>
    <n v="3494"/>
    <x v="252"/>
    <x v="2"/>
    <d v="2024-11-15T00:00:00"/>
    <x v="0"/>
    <x v="2"/>
    <x v="2"/>
    <x v="1"/>
    <x v="1"/>
    <s v="Yes"/>
    <n v="20"/>
    <n v="12"/>
    <n v="18"/>
  </r>
  <r>
    <n v="3495"/>
    <x v="253"/>
    <x v="1"/>
    <d v="2024-11-16T00:00:00"/>
    <x v="1"/>
    <x v="1"/>
    <x v="0"/>
    <x v="1"/>
    <x v="1"/>
    <s v="No"/>
    <n v="0"/>
    <n v="2"/>
    <n v="3"/>
  </r>
  <r>
    <n v="3496"/>
    <x v="254"/>
    <x v="0"/>
    <d v="2024-11-17T00:00:00"/>
    <x v="0"/>
    <x v="0"/>
    <x v="1"/>
    <x v="0"/>
    <x v="0"/>
    <s v="Yes"/>
    <n v="20"/>
    <n v="5"/>
    <n v="60"/>
  </r>
  <r>
    <n v="3497"/>
    <x v="255"/>
    <x v="2"/>
    <d v="2024-11-18T00:00:00"/>
    <x v="1"/>
    <x v="2"/>
    <x v="0"/>
    <x v="1"/>
    <x v="1"/>
    <s v="Yes"/>
    <n v="20"/>
    <n v="10"/>
    <n v="20"/>
  </r>
  <r>
    <n v="3498"/>
    <x v="256"/>
    <x v="1"/>
    <d v="2024-11-19T00:00:00"/>
    <x v="0"/>
    <x v="1"/>
    <x v="2"/>
    <x v="1"/>
    <x v="1"/>
    <s v="No"/>
    <n v="0"/>
    <n v="0"/>
    <n v="5"/>
  </r>
  <r>
    <n v="3499"/>
    <x v="257"/>
    <x v="0"/>
    <d v="2024-11-20T00:00:00"/>
    <x v="1"/>
    <x v="0"/>
    <x v="0"/>
    <x v="0"/>
    <x v="0"/>
    <s v="Yes"/>
    <n v="20"/>
    <n v="3"/>
    <n v="62"/>
  </r>
  <r>
    <n v="3500"/>
    <x v="258"/>
    <x v="2"/>
    <d v="2024-11-21T00:00:00"/>
    <x v="0"/>
    <x v="2"/>
    <x v="1"/>
    <x v="1"/>
    <x v="1"/>
    <s v="Yes"/>
    <n v="20"/>
    <n v="15"/>
    <n v="15"/>
  </r>
  <r>
    <n v="3501"/>
    <x v="259"/>
    <x v="1"/>
    <d v="2024-11-22T00:00:00"/>
    <x v="1"/>
    <x v="1"/>
    <x v="0"/>
    <x v="1"/>
    <x v="1"/>
    <s v="No"/>
    <n v="0"/>
    <n v="1"/>
    <n v="4"/>
  </r>
  <r>
    <n v="3502"/>
    <x v="260"/>
    <x v="0"/>
    <d v="2024-11-23T00:00:00"/>
    <x v="0"/>
    <x v="0"/>
    <x v="2"/>
    <x v="0"/>
    <x v="0"/>
    <s v="Yes"/>
    <n v="20"/>
    <n v="7"/>
    <n v="58"/>
  </r>
  <r>
    <n v="3503"/>
    <x v="119"/>
    <x v="2"/>
    <d v="2024-11-24T00:00:00"/>
    <x v="1"/>
    <x v="2"/>
    <x v="0"/>
    <x v="1"/>
    <x v="1"/>
    <s v="Yes"/>
    <n v="20"/>
    <n v="10"/>
    <n v="20"/>
  </r>
  <r>
    <n v="3504"/>
    <x v="261"/>
    <x v="1"/>
    <d v="2024-11-25T00:00:00"/>
    <x v="0"/>
    <x v="1"/>
    <x v="1"/>
    <x v="1"/>
    <x v="1"/>
    <s v="No"/>
    <n v="0"/>
    <n v="0"/>
    <n v="5"/>
  </r>
  <r>
    <n v="3505"/>
    <x v="262"/>
    <x v="0"/>
    <d v="2024-11-26T00:00:00"/>
    <x v="1"/>
    <x v="0"/>
    <x v="0"/>
    <x v="0"/>
    <x v="0"/>
    <s v="Yes"/>
    <n v="20"/>
    <n v="20"/>
    <n v="45"/>
  </r>
  <r>
    <n v="3506"/>
    <x v="263"/>
    <x v="2"/>
    <d v="2024-11-27T00:00:00"/>
    <x v="0"/>
    <x v="2"/>
    <x v="2"/>
    <x v="1"/>
    <x v="1"/>
    <s v="Yes"/>
    <n v="20"/>
    <n v="15"/>
    <n v="15"/>
  </r>
  <r>
    <n v="3507"/>
    <x v="264"/>
    <x v="1"/>
    <d v="2024-11-28T00:00:00"/>
    <x v="1"/>
    <x v="1"/>
    <x v="0"/>
    <x v="1"/>
    <x v="1"/>
    <s v="No"/>
    <n v="0"/>
    <n v="1"/>
    <n v="4"/>
  </r>
  <r>
    <n v="3508"/>
    <x v="265"/>
    <x v="0"/>
    <d v="2024-11-29T00:00:00"/>
    <x v="0"/>
    <x v="0"/>
    <x v="1"/>
    <x v="0"/>
    <x v="0"/>
    <s v="Yes"/>
    <n v="20"/>
    <n v="3"/>
    <n v="62"/>
  </r>
  <r>
    <n v="3509"/>
    <x v="266"/>
    <x v="2"/>
    <d v="2024-11-30T00:00:00"/>
    <x v="1"/>
    <x v="2"/>
    <x v="0"/>
    <x v="1"/>
    <x v="1"/>
    <s v="Yes"/>
    <n v="20"/>
    <n v="10"/>
    <n v="20"/>
  </r>
  <r>
    <n v="3510"/>
    <x v="267"/>
    <x v="1"/>
    <d v="2024-12-01T00:00:00"/>
    <x v="0"/>
    <x v="1"/>
    <x v="2"/>
    <x v="1"/>
    <x v="1"/>
    <s v="No"/>
    <n v="0"/>
    <n v="0"/>
    <n v="5"/>
  </r>
  <r>
    <n v="3511"/>
    <x v="268"/>
    <x v="0"/>
    <d v="2024-12-02T00:00:00"/>
    <x v="1"/>
    <x v="0"/>
    <x v="0"/>
    <x v="0"/>
    <x v="0"/>
    <s v="Yes"/>
    <n v="20"/>
    <n v="15"/>
    <n v="50"/>
  </r>
  <r>
    <n v="3512"/>
    <x v="269"/>
    <x v="2"/>
    <d v="2024-12-03T00:00:00"/>
    <x v="0"/>
    <x v="2"/>
    <x v="1"/>
    <x v="1"/>
    <x v="1"/>
    <s v="Yes"/>
    <n v="20"/>
    <n v="15"/>
    <n v="15"/>
  </r>
  <r>
    <n v="3513"/>
    <x v="270"/>
    <x v="1"/>
    <d v="2024-12-04T00:00:00"/>
    <x v="1"/>
    <x v="1"/>
    <x v="0"/>
    <x v="1"/>
    <x v="1"/>
    <s v="No"/>
    <n v="0"/>
    <n v="1"/>
    <n v="4"/>
  </r>
  <r>
    <n v="3514"/>
    <x v="271"/>
    <x v="0"/>
    <d v="2024-12-05T00:00:00"/>
    <x v="0"/>
    <x v="0"/>
    <x v="2"/>
    <x v="0"/>
    <x v="0"/>
    <s v="Yes"/>
    <n v="20"/>
    <n v="7"/>
    <n v="58"/>
  </r>
  <r>
    <n v="3515"/>
    <x v="130"/>
    <x v="2"/>
    <d v="2024-12-06T00:00:00"/>
    <x v="1"/>
    <x v="2"/>
    <x v="0"/>
    <x v="1"/>
    <x v="1"/>
    <s v="Yes"/>
    <n v="20"/>
    <n v="10"/>
    <n v="20"/>
  </r>
  <r>
    <n v="3516"/>
    <x v="131"/>
    <x v="1"/>
    <d v="2024-12-07T00:00:00"/>
    <x v="0"/>
    <x v="1"/>
    <x v="1"/>
    <x v="1"/>
    <x v="1"/>
    <s v="No"/>
    <n v="0"/>
    <n v="0"/>
    <n v="5"/>
  </r>
  <r>
    <n v="3517"/>
    <x v="181"/>
    <x v="0"/>
    <d v="2024-12-08T00:00:00"/>
    <x v="1"/>
    <x v="0"/>
    <x v="0"/>
    <x v="0"/>
    <x v="0"/>
    <s v="Yes"/>
    <n v="20"/>
    <n v="20"/>
    <n v="45"/>
  </r>
  <r>
    <n v="3518"/>
    <x v="272"/>
    <x v="2"/>
    <d v="2024-12-09T00:00:00"/>
    <x v="0"/>
    <x v="2"/>
    <x v="2"/>
    <x v="1"/>
    <x v="1"/>
    <s v="Yes"/>
    <n v="20"/>
    <n v="12"/>
    <n v="18"/>
  </r>
  <r>
    <n v="3519"/>
    <x v="273"/>
    <x v="1"/>
    <d v="2024-12-10T00:00:00"/>
    <x v="1"/>
    <x v="1"/>
    <x v="0"/>
    <x v="1"/>
    <x v="1"/>
    <s v="No"/>
    <n v="0"/>
    <n v="2"/>
    <n v="3"/>
  </r>
  <r>
    <n v="3520"/>
    <x v="274"/>
    <x v="0"/>
    <d v="2024-12-11T00:00:00"/>
    <x v="0"/>
    <x v="0"/>
    <x v="1"/>
    <x v="0"/>
    <x v="0"/>
    <s v="Yes"/>
    <n v="20"/>
    <n v="5"/>
    <n v="60"/>
  </r>
  <r>
    <n v="3521"/>
    <x v="275"/>
    <x v="2"/>
    <d v="2024-12-12T00:00:00"/>
    <x v="1"/>
    <x v="2"/>
    <x v="0"/>
    <x v="1"/>
    <x v="1"/>
    <s v="Yes"/>
    <n v="20"/>
    <n v="10"/>
    <n v="20"/>
  </r>
  <r>
    <n v="3522"/>
    <x v="276"/>
    <x v="1"/>
    <d v="2024-12-13T00:00:00"/>
    <x v="0"/>
    <x v="1"/>
    <x v="2"/>
    <x v="1"/>
    <x v="1"/>
    <s v="No"/>
    <n v="0"/>
    <n v="0"/>
    <n v="5"/>
  </r>
  <r>
    <n v="3523"/>
    <x v="277"/>
    <x v="0"/>
    <d v="2024-12-14T00:00:00"/>
    <x v="1"/>
    <x v="0"/>
    <x v="0"/>
    <x v="0"/>
    <x v="0"/>
    <s v="Yes"/>
    <n v="20"/>
    <n v="3"/>
    <n v="62"/>
  </r>
  <r>
    <n v="3524"/>
    <x v="278"/>
    <x v="2"/>
    <d v="2024-12-15T00:00:00"/>
    <x v="0"/>
    <x v="2"/>
    <x v="1"/>
    <x v="1"/>
    <x v="1"/>
    <s v="Yes"/>
    <n v="20"/>
    <n v="15"/>
    <n v="15"/>
  </r>
  <r>
    <n v="3525"/>
    <x v="279"/>
    <x v="1"/>
    <d v="2024-12-16T00:00:00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734C8-D897-4356-9E85-2C710B0E4A80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7:C4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dataField="1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Contagem de Auto Renewa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F9A7B-5DD5-4B38-AAAE-A4442E82395C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311F8-3E2B-4CBA-8602-78A5DC8E4775}" name="tbl_eae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B6D15-20DB-4D5B-8CC2-C7C895DEA405}" name="tbl_a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5B5F0C7-21A3-4A95-B3C2-C33F225EBC43}" sourceName="Subscription Type">
  <pivotTables>
    <pivotTable tabId="3" name="tbl_anual_total"/>
    <pivotTable tabId="3" name="tbl_eaeseasonpass_total"/>
    <pivotTable tabId="3" name="Tabela dinâmica1"/>
    <pivotTable tabId="3" name="Tabela dinâmica2"/>
  </pivotTables>
  <data>
    <tabular pivotCacheId="12664244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0AC515B-2242-4C7C-9883-910D953FC9EC}" cache="SegmentaçãodeDados_Subscription_Type" caption="Subscription Type" style="SlicerStyleLight6 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L13" sqref="L1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296" sqref="E2:E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40"/>
  <sheetViews>
    <sheetView showGridLines="0" topLeftCell="A22" workbookViewId="0">
      <selection activeCell="G40" sqref="G40"/>
    </sheetView>
  </sheetViews>
  <sheetFormatPr defaultRowHeight="14.4" x14ac:dyDescent="0.3"/>
  <cols>
    <col min="2" max="2" width="16.77734375" bestFit="1" customWidth="1"/>
    <col min="3" max="3" width="23.6640625" bestFit="1" customWidth="1"/>
    <col min="4" max="4" width="29.21875" bestFit="1" customWidth="1"/>
    <col min="5" max="5" width="10.4414062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3" x14ac:dyDescent="0.3">
      <c r="B2" s="12" t="s">
        <v>323</v>
      </c>
    </row>
    <row r="3" spans="2:3" x14ac:dyDescent="0.3">
      <c r="B3" s="12" t="s">
        <v>324</v>
      </c>
    </row>
    <row r="4" spans="2:3" x14ac:dyDescent="0.3">
      <c r="B4" s="12"/>
    </row>
    <row r="5" spans="2:3" x14ac:dyDescent="0.3">
      <c r="B5" s="12"/>
    </row>
    <row r="6" spans="2:3" x14ac:dyDescent="0.3">
      <c r="B6" s="13" t="s">
        <v>16</v>
      </c>
      <c r="C6" t="s">
        <v>320</v>
      </c>
    </row>
    <row r="8" spans="2:3" x14ac:dyDescent="0.3">
      <c r="B8" s="13" t="s">
        <v>313</v>
      </c>
      <c r="C8" t="s">
        <v>315</v>
      </c>
    </row>
    <row r="9" spans="2:3" x14ac:dyDescent="0.3">
      <c r="B9" s="14" t="s">
        <v>23</v>
      </c>
      <c r="C9" s="15">
        <v>3847</v>
      </c>
    </row>
    <row r="10" spans="2:3" x14ac:dyDescent="0.3">
      <c r="B10" s="14" t="s">
        <v>19</v>
      </c>
      <c r="C10" s="15">
        <v>3786</v>
      </c>
    </row>
    <row r="11" spans="2:3" x14ac:dyDescent="0.3">
      <c r="B11" s="14" t="s">
        <v>314</v>
      </c>
      <c r="C11" s="15">
        <v>7633</v>
      </c>
    </row>
    <row r="13" spans="2:3" x14ac:dyDescent="0.3">
      <c r="B13" s="12" t="s">
        <v>316</v>
      </c>
    </row>
    <row r="14" spans="2:3" x14ac:dyDescent="0.3">
      <c r="B14" s="12"/>
    </row>
    <row r="15" spans="2:3" x14ac:dyDescent="0.3">
      <c r="B15" s="13" t="s">
        <v>16</v>
      </c>
      <c r="C15" t="s">
        <v>320</v>
      </c>
    </row>
    <row r="17" spans="2:4" x14ac:dyDescent="0.3">
      <c r="B17" s="13" t="s">
        <v>313</v>
      </c>
      <c r="C17" t="s">
        <v>317</v>
      </c>
    </row>
    <row r="18" spans="2:4" x14ac:dyDescent="0.3">
      <c r="B18" s="14" t="s">
        <v>22</v>
      </c>
      <c r="C18" s="18">
        <v>0</v>
      </c>
    </row>
    <row r="19" spans="2:4" x14ac:dyDescent="0.3">
      <c r="B19" s="14" t="s">
        <v>26</v>
      </c>
      <c r="C19" s="18">
        <v>0</v>
      </c>
    </row>
    <row r="20" spans="2:4" x14ac:dyDescent="0.3">
      <c r="B20" s="14" t="s">
        <v>18</v>
      </c>
      <c r="C20" s="18">
        <v>2940</v>
      </c>
    </row>
    <row r="21" spans="2:4" x14ac:dyDescent="0.3">
      <c r="B21" s="14" t="s">
        <v>314</v>
      </c>
      <c r="C21" s="18">
        <v>2940</v>
      </c>
      <c r="D21" s="17">
        <f>GETPIVOTDATA("EA Play Season Pass
Price",$B$17)</f>
        <v>2940</v>
      </c>
    </row>
    <row r="23" spans="2:4" x14ac:dyDescent="0.3">
      <c r="B23" s="12" t="s">
        <v>318</v>
      </c>
    </row>
    <row r="25" spans="2:4" x14ac:dyDescent="0.3">
      <c r="B25" s="13" t="s">
        <v>16</v>
      </c>
      <c r="C25" t="s">
        <v>320</v>
      </c>
    </row>
    <row r="27" spans="2:4" x14ac:dyDescent="0.3">
      <c r="B27" s="13" t="s">
        <v>313</v>
      </c>
      <c r="C27" t="s">
        <v>319</v>
      </c>
    </row>
    <row r="28" spans="2:4" x14ac:dyDescent="0.3">
      <c r="B28" s="14" t="s">
        <v>22</v>
      </c>
      <c r="C28" s="15">
        <v>0</v>
      </c>
    </row>
    <row r="29" spans="2:4" x14ac:dyDescent="0.3">
      <c r="B29" s="14" t="s">
        <v>26</v>
      </c>
      <c r="C29" s="15">
        <v>1920</v>
      </c>
    </row>
    <row r="30" spans="2:4" x14ac:dyDescent="0.3">
      <c r="B30" s="14" t="s">
        <v>18</v>
      </c>
      <c r="C30" s="15">
        <v>1960</v>
      </c>
    </row>
    <row r="31" spans="2:4" x14ac:dyDescent="0.3">
      <c r="B31" s="14" t="s">
        <v>314</v>
      </c>
      <c r="C31" s="15">
        <v>3880</v>
      </c>
      <c r="D31" s="19">
        <f>GETPIVOTDATA("Minecraft Season Pass Price",$B$27)</f>
        <v>3880</v>
      </c>
    </row>
    <row r="34" spans="2:7" x14ac:dyDescent="0.3">
      <c r="B34" s="12" t="s">
        <v>327</v>
      </c>
    </row>
    <row r="35" spans="2:7" x14ac:dyDescent="0.3">
      <c r="B35" s="13" t="s">
        <v>16</v>
      </c>
      <c r="C35" t="s">
        <v>320</v>
      </c>
    </row>
    <row r="36" spans="2:7" x14ac:dyDescent="0.3">
      <c r="F36" t="s">
        <v>328</v>
      </c>
      <c r="G36">
        <f>GETPIVOTDATA("Auto Renewal",$B$37)</f>
        <v>295</v>
      </c>
    </row>
    <row r="37" spans="2:7" x14ac:dyDescent="0.3">
      <c r="B37" s="13" t="s">
        <v>313</v>
      </c>
      <c r="C37" t="s">
        <v>326</v>
      </c>
      <c r="F37" t="s">
        <v>23</v>
      </c>
      <c r="G37" s="23">
        <f>GETPIVOTDATA("Auto Renewal",$B$37,"Auto Renewal","No")</f>
        <v>147</v>
      </c>
    </row>
    <row r="38" spans="2:7" x14ac:dyDescent="0.3">
      <c r="B38" s="14" t="s">
        <v>23</v>
      </c>
      <c r="C38" s="18">
        <v>147</v>
      </c>
      <c r="F38" t="s">
        <v>19</v>
      </c>
      <c r="G38" s="23">
        <f>GETPIVOTDATA("Auto Renewal",$B$37,"Auto Renewal","Yes")</f>
        <v>148</v>
      </c>
    </row>
    <row r="39" spans="2:7" x14ac:dyDescent="0.3">
      <c r="B39" s="14" t="s">
        <v>19</v>
      </c>
      <c r="C39" s="18">
        <v>148</v>
      </c>
      <c r="F39" t="s">
        <v>325</v>
      </c>
      <c r="G39" s="22">
        <f>G38/G36</f>
        <v>0.50169491525423726</v>
      </c>
    </row>
    <row r="40" spans="2:7" x14ac:dyDescent="0.3">
      <c r="B40" s="14" t="s">
        <v>314</v>
      </c>
      <c r="C40" s="18">
        <v>295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431"/>
  <sheetViews>
    <sheetView showGridLines="0" showRowColHeaders="0" tabSelected="1" zoomScaleNormal="100" workbookViewId="0">
      <selection activeCell="V14" sqref="V14"/>
    </sheetView>
  </sheetViews>
  <sheetFormatPr defaultRowHeight="14.4" x14ac:dyDescent="0.3"/>
  <cols>
    <col min="1" max="1" width="29.109375" style="4" customWidth="1"/>
    <col min="2" max="2" width="3.5546875" customWidth="1"/>
    <col min="12" max="12" width="6.5546875" customWidth="1"/>
  </cols>
  <sheetData>
    <row r="1" spans="1:24" ht="20.399999999999999" customHeight="1" x14ac:dyDescent="0.3"/>
    <row r="2" spans="1:24" ht="27" customHeight="1" thickBot="1" x14ac:dyDescent="0.6">
      <c r="B2" s="16"/>
      <c r="C2" s="20" t="s">
        <v>321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4" ht="27" customHeight="1" thickTop="1" x14ac:dyDescent="0.3"/>
    <row r="4" spans="1:24" ht="8.25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7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0.199999999999999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9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33" customHeight="1" x14ac:dyDescent="0.4">
      <c r="A8" s="21" t="s">
        <v>322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2:24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2:2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2:2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2:24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2:24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2:24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2:24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2:24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2:24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2:24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2:24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2:24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2:24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2:24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2:24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2:24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2:24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2:24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2:24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24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2:24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2:24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2:24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2:24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2:24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2:24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2:24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2:24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2:24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2:24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2:24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2:24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2:24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2:24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2:24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2:24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2:24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2:24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2:24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2:24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2:24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2:24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2:24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2:24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2:24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2:24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2:24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2:24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2:24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2:24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2:24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2:24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2:24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2:24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2:24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2:24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2:24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2:24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2:24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2:24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2:24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2:24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2:24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2:24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2:24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2:24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2:24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2:24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2:24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2:24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2:24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2:24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2:24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2:24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2:24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2:24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2:24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2:24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2:24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2:24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2:24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2:24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2:24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2:24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2:24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2:24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2:24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2:24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2:24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2:24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2:24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2:24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2:24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2:24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2:24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2:24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2:24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2:24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2:24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2:24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2:24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2:24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2:24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2:24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2:24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2:24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2:24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2:24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2:24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2:24" x14ac:dyDescent="0.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2:24" x14ac:dyDescent="0.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2:24" x14ac:dyDescent="0.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2:24" x14ac:dyDescent="0.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2:24" x14ac:dyDescent="0.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2:24" x14ac:dyDescent="0.3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2:24" x14ac:dyDescent="0.3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2:24" x14ac:dyDescent="0.3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2:24" x14ac:dyDescent="0.3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2:24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2:24" x14ac:dyDescent="0.3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2:24" x14ac:dyDescent="0.3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2:24" x14ac:dyDescent="0.3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2:24" x14ac:dyDescent="0.3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2:24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2:24" x14ac:dyDescent="0.3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2:24" x14ac:dyDescent="0.3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2:24" x14ac:dyDescent="0.3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2:24" x14ac:dyDescent="0.3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2:24" x14ac:dyDescent="0.3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2:24" x14ac:dyDescent="0.3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2:24" x14ac:dyDescent="0.3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2:24" x14ac:dyDescent="0.3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2:24" x14ac:dyDescent="0.3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2:24" x14ac:dyDescent="0.3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2:24" x14ac:dyDescent="0.3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2:24" x14ac:dyDescent="0.3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2:24" x14ac:dyDescent="0.3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2:24" x14ac:dyDescent="0.3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2:24" x14ac:dyDescent="0.3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2:24" x14ac:dyDescent="0.3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2:24" x14ac:dyDescent="0.3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2:24" x14ac:dyDescent="0.3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2:24" x14ac:dyDescent="0.3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2:24" x14ac:dyDescent="0.3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2:24" x14ac:dyDescent="0.3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2:24" x14ac:dyDescent="0.3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2:24" x14ac:dyDescent="0.3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2:24" x14ac:dyDescent="0.3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2:24" x14ac:dyDescent="0.3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2:24" x14ac:dyDescent="0.3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2:24" x14ac:dyDescent="0.3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2:24" x14ac:dyDescent="0.3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2:24" x14ac:dyDescent="0.3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2:24" x14ac:dyDescent="0.3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2:24" x14ac:dyDescent="0.3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2:24" x14ac:dyDescent="0.3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2:24" x14ac:dyDescent="0.3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2:24" x14ac:dyDescent="0.3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2:24" x14ac:dyDescent="0.3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2:24" x14ac:dyDescent="0.3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2:24" x14ac:dyDescent="0.3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2:24" x14ac:dyDescent="0.3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2:24" x14ac:dyDescent="0.3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2:24" x14ac:dyDescent="0.3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2:24" x14ac:dyDescent="0.3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2:24" x14ac:dyDescent="0.3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2:24" x14ac:dyDescent="0.3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2:24" x14ac:dyDescent="0.3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2:24" x14ac:dyDescent="0.3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2:24" x14ac:dyDescent="0.3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2:24" x14ac:dyDescent="0.3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2:24" x14ac:dyDescent="0.3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2:24" x14ac:dyDescent="0.3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2:24" x14ac:dyDescent="0.3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2:24" x14ac:dyDescent="0.3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2:24" x14ac:dyDescent="0.3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2:24" x14ac:dyDescent="0.3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2:24" x14ac:dyDescent="0.3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2:24" x14ac:dyDescent="0.3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2:24" x14ac:dyDescent="0.3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2:24" x14ac:dyDescent="0.3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2:24" x14ac:dyDescent="0.3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2:24" x14ac:dyDescent="0.3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2:24" x14ac:dyDescent="0.3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2:24" x14ac:dyDescent="0.3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2:24" x14ac:dyDescent="0.3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2:24" x14ac:dyDescent="0.3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2:24" x14ac:dyDescent="0.3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2:24" x14ac:dyDescent="0.3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2:24" x14ac:dyDescent="0.3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2:24" x14ac:dyDescent="0.3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2:24" x14ac:dyDescent="0.3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2:24" x14ac:dyDescent="0.3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2:24" x14ac:dyDescent="0.3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2:24" x14ac:dyDescent="0.3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2:24" x14ac:dyDescent="0.3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2:24" x14ac:dyDescent="0.3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2:24" x14ac:dyDescent="0.3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2:24" x14ac:dyDescent="0.3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2:24" x14ac:dyDescent="0.3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2:24" x14ac:dyDescent="0.3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2:24" x14ac:dyDescent="0.3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2:24" x14ac:dyDescent="0.3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2:24" x14ac:dyDescent="0.3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2:24" x14ac:dyDescent="0.3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2:24" x14ac:dyDescent="0.3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2:24" x14ac:dyDescent="0.3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2:24" x14ac:dyDescent="0.3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2:24" x14ac:dyDescent="0.3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2:24" x14ac:dyDescent="0.3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2:24" x14ac:dyDescent="0.3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2:24" x14ac:dyDescent="0.3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2:24" x14ac:dyDescent="0.3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2:24" x14ac:dyDescent="0.3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2:24" x14ac:dyDescent="0.3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2:24" x14ac:dyDescent="0.3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2:24" x14ac:dyDescent="0.3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2:24" x14ac:dyDescent="0.3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2:24" x14ac:dyDescent="0.3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2:24" x14ac:dyDescent="0.3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2:24" x14ac:dyDescent="0.3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2:24" x14ac:dyDescent="0.3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2:24" x14ac:dyDescent="0.3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2:24" x14ac:dyDescent="0.3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2:24" x14ac:dyDescent="0.3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2:24" x14ac:dyDescent="0.3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2:24" x14ac:dyDescent="0.3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2:24" x14ac:dyDescent="0.3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2:24" x14ac:dyDescent="0.3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2:24" x14ac:dyDescent="0.3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2:24" x14ac:dyDescent="0.3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2:24" x14ac:dyDescent="0.3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2:24" x14ac:dyDescent="0.3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2:24" x14ac:dyDescent="0.3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2:24" x14ac:dyDescent="0.3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2:24" x14ac:dyDescent="0.3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2:24" x14ac:dyDescent="0.3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2:24" x14ac:dyDescent="0.3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2:24" x14ac:dyDescent="0.3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2:24" x14ac:dyDescent="0.3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2:24" x14ac:dyDescent="0.3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2:24" x14ac:dyDescent="0.3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2:24" x14ac:dyDescent="0.3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2:24" x14ac:dyDescent="0.3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2:24" x14ac:dyDescent="0.3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2:24" x14ac:dyDescent="0.3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2:24" x14ac:dyDescent="0.3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2:24" x14ac:dyDescent="0.3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2:24" x14ac:dyDescent="0.3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2:24" x14ac:dyDescent="0.3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2:24" x14ac:dyDescent="0.3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2:24" x14ac:dyDescent="0.3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2:24" x14ac:dyDescent="0.3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2:24" x14ac:dyDescent="0.3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2:24" x14ac:dyDescent="0.3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2:24" x14ac:dyDescent="0.3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2:24" x14ac:dyDescent="0.3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2:24" x14ac:dyDescent="0.3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2:24" x14ac:dyDescent="0.3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2:24" x14ac:dyDescent="0.3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2:24" x14ac:dyDescent="0.3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2:24" x14ac:dyDescent="0.3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2:24" x14ac:dyDescent="0.3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2:24" x14ac:dyDescent="0.3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2:24" x14ac:dyDescent="0.3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2:24" x14ac:dyDescent="0.3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2:24" x14ac:dyDescent="0.3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2:24" x14ac:dyDescent="0.3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2:24" x14ac:dyDescent="0.3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2:24" x14ac:dyDescent="0.3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2:24" x14ac:dyDescent="0.3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2:24" x14ac:dyDescent="0.3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2:24" x14ac:dyDescent="0.3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2:24" x14ac:dyDescent="0.3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2:24" x14ac:dyDescent="0.3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2:24" x14ac:dyDescent="0.3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2:24" x14ac:dyDescent="0.3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2:24" x14ac:dyDescent="0.3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2:24" x14ac:dyDescent="0.3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2:24" x14ac:dyDescent="0.3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2:24" x14ac:dyDescent="0.3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2:24" x14ac:dyDescent="0.3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2:24" x14ac:dyDescent="0.3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2:24" x14ac:dyDescent="0.3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2:24" x14ac:dyDescent="0.3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2:24" x14ac:dyDescent="0.3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2:24" x14ac:dyDescent="0.3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Bernardo Aguilera</cp:lastModifiedBy>
  <dcterms:created xsi:type="dcterms:W3CDTF">2024-12-19T13:13:10Z</dcterms:created>
  <dcterms:modified xsi:type="dcterms:W3CDTF">2026-01-20T18:55:12Z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